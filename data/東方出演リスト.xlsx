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東方Wiki" sheetId="1" r:id="rId4"/>
    <sheet state="visible" name="キャラ初出" sheetId="2" r:id="rId5"/>
    <sheet state="visible" name="作品サブタイトル" sheetId="3" r:id="rId6"/>
    <sheet state="visible" name="人気投票総数" sheetId="4" r:id="rId7"/>
    <sheet state="visible" name="主人公詰め" sheetId="5" r:id="rId8"/>
    <sheet state="visible" name="整数詰め" sheetId="6" r:id="rId9"/>
    <sheet state="visible" name="非整数詰め" sheetId="7" r:id="rId10"/>
    <sheet state="visible" name="年回数作品対応" sheetId="8" r:id="rId11"/>
    <sheet state="visible" name="年回数非整数作品対応" sheetId="9" r:id="rId12"/>
    <sheet state="visible" name="アンケート年齢" sheetId="10" r:id="rId13"/>
    <sheet state="visible" name="アンケート性別" sheetId="11" r:id="rId14"/>
    <sheet state="visible" name="アンケート年齢性別" sheetId="12" r:id="rId15"/>
    <sheet state="visible" name="アンケート地域" sheetId="13" r:id="rId16"/>
    <sheet state="visible" name="非整数音楽追加" sheetId="14" r:id="rId17"/>
    <sheet state="visible" name="アンケート作品" sheetId="15" r:id="rId18"/>
  </sheets>
  <definedNames/>
  <calcPr/>
</workbook>
</file>

<file path=xl/sharedStrings.xml><?xml version="1.0" encoding="utf-8"?>
<sst xmlns="http://schemas.openxmlformats.org/spreadsheetml/2006/main" count="2002" uniqueCount="654">
  <si>
    <t>from</t>
  </si>
  <si>
    <t>http://thwiki.info/?%BD%D0%B1%E9%A5%EA%A5%B9%A5%C8</t>
  </si>
  <si>
    <t>番号</t>
  </si>
  <si>
    <t>1~5</t>
  </si>
  <si>
    <t>年</t>
  </si>
  <si>
    <t>人気投票</t>
  </si>
  <si>
    <t>旧作-西方</t>
  </si>
  <si>
    <t>紅魔郷</t>
  </si>
  <si>
    <t>妖々夢</t>
  </si>
  <si>
    <t>永夜抄</t>
  </si>
  <si>
    <t>萃夢想</t>
  </si>
  <si>
    <t>花映塚</t>
  </si>
  <si>
    <t>文
(書籍)</t>
  </si>
  <si>
    <t>文(STG)</t>
  </si>
  <si>
    <t>風神録</t>
  </si>
  <si>
    <t>緋想天</t>
  </si>
  <si>
    <t>地霊殿</t>
  </si>
  <si>
    <t>星蓮船</t>
  </si>
  <si>
    <t>非想天則</t>
  </si>
  <si>
    <t>DS</t>
  </si>
  <si>
    <t>妖精大戦争</t>
  </si>
  <si>
    <t>神霊廟</t>
  </si>
  <si>
    <t>心綺楼</t>
  </si>
  <si>
    <t>輝針城</t>
  </si>
  <si>
    <t>天邪鬼</t>
  </si>
  <si>
    <t>深秘録</t>
  </si>
  <si>
    <t>紺珠伝</t>
  </si>
  <si>
    <r>
      <rPr>
        <rFont val="Arial"/>
        <color rgb="FF000000"/>
        <sz val="9.0"/>
      </rPr>
      <t>天空</t>
    </r>
    <r>
      <rPr>
        <rFont val="Arial"/>
        <sz val="9.0"/>
      </rPr>
      <t>璋</t>
    </r>
  </si>
  <si>
    <t>憑依華</t>
  </si>
  <si>
    <t>秘封ナイトメアダイアリー</t>
  </si>
  <si>
    <t>鬼形獣</t>
  </si>
  <si>
    <t>虹龍洞</t>
  </si>
  <si>
    <t>剛欲異聞</t>
  </si>
  <si>
    <t>バレットフィリア達の闇市場</t>
  </si>
  <si>
    <t>備考</t>
  </si>
  <si>
    <t>博麗 霊夢</t>
  </si>
  <si>
    <t>自機</t>
  </si>
  <si>
    <t>自機
4中ボス
4ボス</t>
  </si>
  <si>
    <t>○</t>
  </si>
  <si>
    <t>※2</t>
  </si>
  <si>
    <t>Ex</t>
  </si>
  <si>
    <t>B-1ED</t>
  </si>
  <si>
    <t>8日目</t>
  </si>
  <si>
    <t>※旧作 全部-
秋霜玉Exボス
※2おまけtxtのみ</t>
  </si>
  <si>
    <t>霧雨 魔理沙</t>
  </si>
  <si>
    <t>Exボス</t>
  </si>
  <si>
    <t>7日目</t>
  </si>
  <si>
    <t>※旧作 封魔録から-
秋霜玉Exボス
Win版東方STGアイコン
※2おまけtxtのみ</t>
  </si>
  <si>
    <t>ルーミア</t>
  </si>
  <si>
    <t>1中ボス
1ボス</t>
  </si>
  <si>
    <t>Lv1</t>
  </si>
  <si>
    <t>※</t>
  </si>
  <si>
    <t>※背景に登場（夢殿大祀廟）</t>
  </si>
  <si>
    <t>大妖精</t>
  </si>
  <si>
    <t>2中ボス</t>
  </si>
  <si>
    <t>1中ボス
2中ボス
EX中ボス</t>
  </si>
  <si>
    <t>チルノ</t>
  </si>
  <si>
    <t>2ボス</t>
  </si>
  <si>
    <t>1中ボス</t>
  </si>
  <si>
    <t>Lv2</t>
  </si>
  <si>
    <t>1日目</t>
  </si>
  <si>
    <t>※背景に登場（夢殿大祀廟・妖怪狸の森）</t>
  </si>
  <si>
    <t>紅 美鈴</t>
  </si>
  <si>
    <t>3中ボス
3ボス</t>
  </si>
  <si>
    <t>自機※</t>
  </si>
  <si>
    <t>Lv5</t>
  </si>
  <si>
    <t>※ストーリーなし</t>
  </si>
  <si>
    <t>小悪魔</t>
  </si>
  <si>
    <t>4中ボス</t>
  </si>
  <si>
    <t>パチュリー・ノーレッジ</t>
  </si>
  <si>
    <t>4ボス
Ex中ボス</t>
  </si>
  <si>
    <t>幻符ED</t>
  </si>
  <si>
    <t>紅魔組ED</t>
  </si>
  <si>
    <t>咲夜ED</t>
  </si>
  <si>
    <t>支援-魔理沙</t>
  </si>
  <si>
    <t>※背景に登場（博麗神社）</t>
  </si>
  <si>
    <t>十六夜 咲夜</t>
  </si>
  <si>
    <t>5中ボス
5ボス
6中ボス</t>
  </si>
  <si>
    <t>Lv7</t>
  </si>
  <si>
    <t>レミリア・スカーレット</t>
  </si>
  <si>
    <t>6ボス</t>
  </si>
  <si>
    <t>霊符ED
咲夜ED</t>
  </si>
  <si>
    <t>霊夢B ED※</t>
  </si>
  <si>
    <t>最終日</t>
  </si>
  <si>
    <t>※霊夢の想像、台詞なし
※2背景に登場（博麗神社）</t>
  </si>
  <si>
    <t>フランドール・スカーレット</t>
  </si>
  <si>
    <t>レティ・ホワイトロック</t>
  </si>
  <si>
    <t>1ボス</t>
  </si>
  <si>
    <t>橙</t>
  </si>
  <si>
    <t>2中ボス
2ボス
Ex中ボス</t>
  </si>
  <si>
    <t>結界組ED</t>
  </si>
  <si>
    <t>Lv6</t>
  </si>
  <si>
    <t>※※</t>
  </si>
  <si>
    <t>※八雲藍＋の弾
※※紫の弾
※2背景に登場（博麗神社）</t>
  </si>
  <si>
    <t>アリス・マーガトロイド</t>
  </si>
  <si>
    <t>Lv3</t>
  </si>
  <si>
    <t>※怪綺談3-
EXボス
※2背景に登場（人間の里）</t>
  </si>
  <si>
    <t>リリーホワイト</t>
  </si>
  <si>
    <t>敵</t>
  </si>
  <si>
    <t>※背景に登場（雲上の宝船・夢殿大祀廟・妖怪狸の森）</t>
  </si>
  <si>
    <t>ルナサ・プリズムリバー</t>
  </si>
  <si>
    <t>4ボス</t>
  </si>
  <si>
    <t>※ストーリーなし
※2背景に登場（雲上の宝船・神霊廟）</t>
  </si>
  <si>
    <t>メルラン・プリズムリバー</t>
  </si>
  <si>
    <t>リリカ・プリズムリバー</t>
  </si>
  <si>
    <t>※背景に登場（雲上の宝船・神霊廟）</t>
  </si>
  <si>
    <t>魂魄 妖夢</t>
  </si>
  <si>
    <t>※背景に登場（神霊廟）</t>
  </si>
  <si>
    <t>西行寺 幽々子</t>
  </si>
  <si>
    <t>妖夢ED</t>
  </si>
  <si>
    <t>Lv8</t>
  </si>
  <si>
    <t>4日目</t>
  </si>
  <si>
    <t>八雲 藍</t>
  </si>
  <si>
    <t>Exボス
Ph中ボス</t>
  </si>
  <si>
    <t>※
結界組ED</t>
  </si>
  <si>
    <t>※紫の弾
※2背景に登場（博麗神社）</t>
  </si>
  <si>
    <t>八雲 紫</t>
  </si>
  <si>
    <t>Phボス</t>
  </si>
  <si>
    <t>支援-霊夢</t>
  </si>
  <si>
    <t>魔理沙 完ED</t>
  </si>
  <si>
    <t>リグル・ナイトバグ</t>
  </si>
  <si>
    <t>ミスティア・ローレライ</t>
  </si>
  <si>
    <t>2中ボス
2ボス</t>
  </si>
  <si>
    <t>上白沢 慧音</t>
  </si>
  <si>
    <t>3中ボス
3ボス
Ex中ボス※</t>
  </si>
  <si>
    <t>3日目</t>
  </si>
  <si>
    <t>※Exにはハクタク状態で登場
※2背景に登場（人間の里）</t>
  </si>
  <si>
    <t>因幡 てゐ</t>
  </si>
  <si>
    <t>5中ボス</t>
  </si>
  <si>
    <t>Lv4</t>
  </si>
  <si>
    <t>霊夢 完ED</t>
  </si>
  <si>
    <t>※背景に登場（人間の里）</t>
  </si>
  <si>
    <t>鈴仙・優曇華院・イナバ</t>
  </si>
  <si>
    <t>5ボス</t>
  </si>
  <si>
    <t>自機※2</t>
  </si>
  <si>
    <t>※背景に登場（人間の里）
※2PS4版で追加</t>
  </si>
  <si>
    <t>八意 永琳</t>
  </si>
  <si>
    <t>6A中ボス
6Aボス
6B中ボス</t>
  </si>
  <si>
    <t>ED※</t>
  </si>
  <si>
    <t>Lv9</t>
  </si>
  <si>
    <t>鈴仙ED</t>
  </si>
  <si>
    <t>あらすじ
ED※3</t>
  </si>
  <si>
    <t>※鈴仙・てゐ・メディスン
※2背景に登場（人間の里）
※3霊夢 完・鈴仙 完</t>
  </si>
  <si>
    <t>蓬莱山 輝夜</t>
  </si>
  <si>
    <t>6Bボス</t>
  </si>
  <si>
    <t>あらすじ
鈴仙 レED</t>
  </si>
  <si>
    <t>藤原 妹紅</t>
  </si>
  <si>
    <t>伊吹 萃香</t>
  </si>
  <si>
    <t>9日目</t>
  </si>
  <si>
    <t>射命丸 文</t>
  </si>
  <si>
    <t>自機
Sp</t>
  </si>
  <si>
    <t>C-1ED</t>
  </si>
  <si>
    <t>6日目</t>
  </si>
  <si>
    <t>※背景に登場（命蓮寺・玄武の沢）</t>
  </si>
  <si>
    <t>メディスン・メランコリー</t>
  </si>
  <si>
    <t>風見 幽香</t>
  </si>
  <si>
    <t>※幻想郷5-6ボス
怪奇談自機-稀翁玉自機
※2背景に登場（夢殿大祀廟）</t>
  </si>
  <si>
    <t>小野塚 小町</t>
  </si>
  <si>
    <t>Lv10</t>
  </si>
  <si>
    <t>四季映姫・ヤマザナドゥ</t>
  </si>
  <si>
    <t>妖精</t>
  </si>
  <si>
    <t>秋 静葉</t>
  </si>
  <si>
    <t>※背景に登場（玄武の沢・妖怪狸の森）</t>
  </si>
  <si>
    <t>秋 穣子</t>
  </si>
  <si>
    <t>鍵山 雛</t>
  </si>
  <si>
    <t>河城 にとり</t>
  </si>
  <si>
    <t>犬走 椛</t>
  </si>
  <si>
    <t>東風谷 早苗</t>
  </si>
  <si>
    <t>5中ボス
5ボス</t>
  </si>
  <si>
    <t>Ex中ボス</t>
  </si>
  <si>
    <t>八坂 神奈子</t>
  </si>
  <si>
    <t>6ボス
Ex中ボス</t>
  </si>
  <si>
    <t>早苗A ED</t>
  </si>
  <si>
    <t>Lv11</t>
  </si>
  <si>
    <t>ED※3</t>
  </si>
  <si>
    <t>※早苗の必殺技
※2背景に登場（玄武の沢）
※3早苗 完・早苗 レ</t>
  </si>
  <si>
    <t>洩矢 諏訪子</t>
  </si>
  <si>
    <t>ExED</t>
  </si>
  <si>
    <t>早苗B ED</t>
  </si>
  <si>
    <t>早苗ED※</t>
  </si>
  <si>
    <t>早苗 レED</t>
  </si>
  <si>
    <t>※声（台詞）のみ
※2背景に登場（玄武の沢・妖怪狸の森）</t>
  </si>
  <si>
    <t>永江 衣玖</t>
  </si>
  <si>
    <t>※背景に登場（雲上の宝船・妖怪狸の森）</t>
  </si>
  <si>
    <t>比那名居 天子</t>
  </si>
  <si>
    <t>キスメ</t>
  </si>
  <si>
    <t>黒谷 ヤマメ</t>
  </si>
  <si>
    <t>※背景に登場（地霊殿）</t>
  </si>
  <si>
    <t>水橋 パルスィ</t>
  </si>
  <si>
    <t>※背景に登場（地霊殿・妖怪狸の森）</t>
  </si>
  <si>
    <t>星熊 勇儀</t>
  </si>
  <si>
    <t>魔理沙ED
※</t>
  </si>
  <si>
    <t>古明地 さとり</t>
  </si>
  <si>
    <t>こいしED</t>
  </si>
  <si>
    <t>火焔猫 燐</t>
  </si>
  <si>
    <t>4中ボス
5中ボス
5ボス
6中ボス</t>
  </si>
  <si>
    <t>霊烏路 空</t>
  </si>
  <si>
    <t>古明地 こいし</t>
  </si>
  <si>
    <t>ナズーリン</t>
  </si>
  <si>
    <t>1中ボス
1ボス
5中ボス</t>
  </si>
  <si>
    <t>※背景に登場（雲上の宝船）</t>
  </si>
  <si>
    <t>多々良 小傘</t>
  </si>
  <si>
    <t>3中ボス</t>
  </si>
  <si>
    <t>※背景に登場（命蓮寺・妖怪狸の森）</t>
  </si>
  <si>
    <t>雲居 一輪</t>
  </si>
  <si>
    <t>雲山</t>
  </si>
  <si>
    <t>村紗 水蜜</t>
  </si>
  <si>
    <t>寅丸 星</t>
  </si>
  <si>
    <t>聖 白蓮</t>
  </si>
  <si>
    <t>Lv12</t>
  </si>
  <si>
    <t>封獣 ぬえ</t>
  </si>
  <si>
    <t>4中ボス
6中ボス
Exボス</t>
  </si>
  <si>
    <t>姫海棠 はたて</t>
  </si>
  <si>
    <t>幽谷 響子</t>
  </si>
  <si>
    <t>2日目</t>
  </si>
  <si>
    <t>宮古 芳香</t>
  </si>
  <si>
    <t>3ボス
※</t>
  </si>
  <si>
    <t>※4ボスのオプション
※2背景に登場（神霊廟）</t>
  </si>
  <si>
    <t>霍 青娥</t>
  </si>
  <si>
    <t>4中ボス
4ボス</t>
  </si>
  <si>
    <t>蘇我 屠自古</t>
  </si>
  <si>
    <t>物部 布都</t>
  </si>
  <si>
    <t>豊聡耳 神子</t>
  </si>
  <si>
    <t>二ッ岩 マミゾウ</t>
  </si>
  <si>
    <t>6日目
8日目</t>
  </si>
  <si>
    <t>秦 こころ</t>
  </si>
  <si>
    <t>わかさぎ姫</t>
  </si>
  <si>
    <t>赤蛮奇</t>
  </si>
  <si>
    <t>今泉 影狼</t>
  </si>
  <si>
    <t>九十九 弁々</t>
  </si>
  <si>
    <t>4中ボス
4ボス
EX中ボス</t>
  </si>
  <si>
    <t>5日目</t>
  </si>
  <si>
    <t>九十九 八橋</t>
  </si>
  <si>
    <t>1日目
5日目</t>
  </si>
  <si>
    <t>鬼人 正邪</t>
  </si>
  <si>
    <t>少名 針妙丸</t>
  </si>
  <si>
    <t>堀川 雷鼓</t>
  </si>
  <si>
    <t>EXボス</t>
  </si>
  <si>
    <t>宇佐見 菫子</t>
  </si>
  <si>
    <t>清蘭</t>
  </si>
  <si>
    <t>鈴瑚</t>
  </si>
  <si>
    <t>ドレミー・スイート</t>
  </si>
  <si>
    <t>3中ボス
3ボス
EX中ボス</t>
  </si>
  <si>
    <t>稀神 サグメ</t>
  </si>
  <si>
    <t>クラウンピース</t>
  </si>
  <si>
    <t>純狐</t>
  </si>
  <si>
    <t>6ボス
EXボス</t>
  </si>
  <si>
    <t>ヘカーティア・ラピスラズリ</t>
  </si>
  <si>
    <t>宇佐見 蓮子</t>
  </si>
  <si>
    <t>音楽CDのみ登場</t>
  </si>
  <si>
    <t>マエリベリー・ハーン</t>
  </si>
  <si>
    <t>森近 霖之助</t>
  </si>
  <si>
    <t>香霖堂の主人公
※背景に登場（人間の里）</t>
  </si>
  <si>
    <t>サニーミルク</t>
  </si>
  <si>
    <t>1ボス
2ボス
3中ボス
3ボス</t>
  </si>
  <si>
    <t>三月精の主人公
※背景に登場（博麗神社・夢殿大祀廟・妖怪狸の森）</t>
  </si>
  <si>
    <t>ルナチャイルド</t>
  </si>
  <si>
    <t>スターサファイア</t>
  </si>
  <si>
    <t>稗田 阿求</t>
  </si>
  <si>
    <t>求聞史紀の主人公</t>
  </si>
  <si>
    <t>レイセン</t>
  </si>
  <si>
    <t>儚月抄に登場</t>
  </si>
  <si>
    <t>綿月 依姫</t>
  </si>
  <si>
    <t>綿月 豊姫</t>
  </si>
  <si>
    <t>茨木 華扇</t>
  </si>
  <si>
    <t>茨歌仙の主人公</t>
  </si>
  <si>
    <t>本居 小鈴</t>
  </si>
  <si>
    <t>鈴奈庵の主人公
※背景に登場（人間の里）</t>
  </si>
  <si>
    <t>エタニティラルバ</t>
  </si>
  <si>
    <t>坂田 ネムノ</t>
  </si>
  <si>
    <t>高麗野 あうん</t>
  </si>
  <si>
    <t>矢田寺 成美</t>
  </si>
  <si>
    <t>爾子田 里乃</t>
  </si>
  <si>
    <t>丁礼田 舞</t>
  </si>
  <si>
    <t>摩多羅 隠岐奈</t>
  </si>
  <si>
    <t>ex</t>
  </si>
  <si>
    <t>依神 女苑</t>
  </si>
  <si>
    <t>依神 紫苑</t>
  </si>
  <si>
    <r>
      <rPr>
        <rFont val="Arial"/>
        <color rgb="FF000000"/>
        <sz val="9.0"/>
      </rPr>
      <t>天空</t>
    </r>
    <r>
      <rPr>
        <rFont val="Arial"/>
        <sz val="9.0"/>
      </rPr>
      <t>璋</t>
    </r>
  </si>
  <si>
    <t>初出作品</t>
  </si>
  <si>
    <t>初出番号</t>
  </si>
  <si>
    <t>初出年</t>
  </si>
  <si>
    <t>投票初出回</t>
  </si>
  <si>
    <t>CD(秘封)</t>
  </si>
  <si>
    <t>書籍のみ</t>
  </si>
  <si>
    <t>整数boss</t>
  </si>
  <si>
    <t>整数自機</t>
  </si>
  <si>
    <t>非整数自機</t>
  </si>
  <si>
    <t>非整数boss</t>
  </si>
  <si>
    <t>整数自機回数</t>
  </si>
  <si>
    <t>非整数自機回数</t>
  </si>
  <si>
    <t>old_charid</t>
  </si>
  <si>
    <t>戎 瓔花</t>
  </si>
  <si>
    <t>牛崎 潤美</t>
  </si>
  <si>
    <t>庭渡 久侘歌</t>
  </si>
  <si>
    <t>吉弔 八千慧</t>
  </si>
  <si>
    <t>杖刀偶 磨弓</t>
  </si>
  <si>
    <t>埴安神 袿姫</t>
  </si>
  <si>
    <t>驪駒 早鬼</t>
  </si>
  <si>
    <t>饕餮 尤魔</t>
  </si>
  <si>
    <t>豪徳寺 ミケ</t>
  </si>
  <si>
    <t>山城 たかね</t>
  </si>
  <si>
    <t>駒草 山如</t>
  </si>
  <si>
    <t>玉造 魅須丸</t>
  </si>
  <si>
    <t>飯綱丸 龍</t>
  </si>
  <si>
    <t>菅牧 典</t>
  </si>
  <si>
    <t>天弓 千亦</t>
  </si>
  <si>
    <t>姫虫 百々世</t>
  </si>
  <si>
    <t>月</t>
  </si>
  <si>
    <t>人気投票月</t>
  </si>
  <si>
    <t>人気投票初出</t>
  </si>
  <si>
    <t>サブタイトル</t>
  </si>
  <si>
    <t>靈異伝</t>
  </si>
  <si>
    <t>封魔録</t>
  </si>
  <si>
    <t>夢時空</t>
  </si>
  <si>
    <t>幻想郷</t>
  </si>
  <si>
    <t>怪綺談</t>
  </si>
  <si>
    <t>文花帖</t>
  </si>
  <si>
    <t>ダブルスポイラー</t>
  </si>
  <si>
    <r>
      <rPr>
        <rFont val="Arial"/>
        <color rgb="FF000000"/>
        <sz val="9.0"/>
      </rPr>
      <t>天空</t>
    </r>
    <r>
      <rPr>
        <rFont val="Arial"/>
        <sz val="9.0"/>
      </rPr>
      <t>璋</t>
    </r>
  </si>
  <si>
    <t>第</t>
  </si>
  <si>
    <t>キャラ</t>
  </si>
  <si>
    <t>音楽</t>
  </si>
  <si>
    <t>作品</t>
  </si>
  <si>
    <t>spell</t>
  </si>
  <si>
    <t>16ex</t>
  </si>
  <si>
    <r>
      <rPr>
        <rFont val="Arial"/>
        <color rgb="FF000000"/>
        <sz val="9.0"/>
      </rPr>
      <t>天空</t>
    </r>
    <r>
      <rPr>
        <rFont val="Arial"/>
        <sz val="9.0"/>
      </rPr>
      <t>璋</t>
    </r>
  </si>
  <si>
    <r>
      <rPr>
        <rFont val="Arial"/>
        <color rgb="FF000000"/>
        <sz val="9.0"/>
      </rPr>
      <t>天空</t>
    </r>
    <r>
      <rPr>
        <rFont val="Arial"/>
        <sz val="9.0"/>
      </rPr>
      <t>璋</t>
    </r>
  </si>
  <si>
    <t>博麗霊夢</t>
  </si>
  <si>
    <t>射命丸文</t>
  </si>
  <si>
    <t>秋静葉</t>
  </si>
  <si>
    <t>霧雨魔理沙</t>
  </si>
  <si>
    <t>鍵山雛</t>
  </si>
  <si>
    <t>豪徳寺ミケ</t>
  </si>
  <si>
    <t>十六夜咲夜</t>
  </si>
  <si>
    <t>雲居一輪</t>
  </si>
  <si>
    <t>多々良小傘</t>
  </si>
  <si>
    <t>聖白蓮</t>
  </si>
  <si>
    <t>八坂神奈子</t>
  </si>
  <si>
    <t>戎瓔花</t>
  </si>
  <si>
    <t>犬走椛</t>
  </si>
  <si>
    <t>上白沢慧音</t>
  </si>
  <si>
    <t>物部布都</t>
  </si>
  <si>
    <t>村紗水蜜</t>
  </si>
  <si>
    <t>東風谷早苗</t>
  </si>
  <si>
    <t>魂魄妖夢</t>
  </si>
  <si>
    <t>豊聡 耳神子</t>
  </si>
  <si>
    <t>霍青娥</t>
  </si>
  <si>
    <t>豊聡耳神子</t>
  </si>
  <si>
    <t>菅牧典</t>
  </si>
  <si>
    <t>紅美鈴</t>
  </si>
  <si>
    <t>伊吹萃香</t>
  </si>
  <si>
    <t>九十九八橋</t>
  </si>
  <si>
    <t>河城にとり</t>
  </si>
  <si>
    <t>矢田寺成美</t>
  </si>
  <si>
    <t>西行寺幽々子</t>
  </si>
  <si>
    <t>古明地こいし</t>
  </si>
  <si>
    <t>坂田ネムノ</t>
  </si>
  <si>
    <t>天弓千亦</t>
  </si>
  <si>
    <t>八雲紫</t>
  </si>
  <si>
    <t>霊烏路空</t>
  </si>
  <si>
    <t>二ッ岩マミゾウ</t>
  </si>
  <si>
    <t>高麗野あうん</t>
  </si>
  <si>
    <t>秋穣子</t>
  </si>
  <si>
    <t>八雲藍</t>
  </si>
  <si>
    <t>秦こころ</t>
  </si>
  <si>
    <t>星熊勇儀</t>
  </si>
  <si>
    <t>八意永琳</t>
  </si>
  <si>
    <t>永江衣玖</t>
  </si>
  <si>
    <t>洩矢諏訪子</t>
  </si>
  <si>
    <t>茨木華扇</t>
  </si>
  <si>
    <t>稀神サグメ</t>
  </si>
  <si>
    <t>黒谷ヤマメ</t>
  </si>
  <si>
    <t>庭渡久侘歌</t>
  </si>
  <si>
    <t>小野塚小町</t>
  </si>
  <si>
    <t>藤原妹紅</t>
  </si>
  <si>
    <t>丁礼田舞</t>
  </si>
  <si>
    <t>封獣ぬえ</t>
  </si>
  <si>
    <t>少名針妙丸</t>
  </si>
  <si>
    <t>爾子田里乃</t>
  </si>
  <si>
    <t>飯綱丸龍</t>
  </si>
  <si>
    <t>宮古芳香</t>
  </si>
  <si>
    <t>宇佐見菫子</t>
  </si>
  <si>
    <t>摩多羅隠岐奈</t>
  </si>
  <si>
    <t>九十九弁々</t>
  </si>
  <si>
    <t>因幡てゐ</t>
  </si>
  <si>
    <t>牛崎潤美</t>
  </si>
  <si>
    <t>比那名居天子</t>
  </si>
  <si>
    <t>水橋パルスィ</t>
  </si>
  <si>
    <t>姫海棠はたて</t>
  </si>
  <si>
    <t>驪駒早鬼</t>
  </si>
  <si>
    <t>蓬莱山輝夜</t>
  </si>
  <si>
    <t>寅丸星</t>
  </si>
  <si>
    <t>古明地さとり</t>
  </si>
  <si>
    <t>幽谷響子</t>
  </si>
  <si>
    <t>今泉影狼</t>
  </si>
  <si>
    <t>姫虫百々世</t>
  </si>
  <si>
    <t>堀川雷鼓</t>
  </si>
  <si>
    <t>山城たかね</t>
  </si>
  <si>
    <t/>
  </si>
  <si>
    <r>
      <rPr>
        <rFont val="Arial"/>
        <color rgb="FF000000"/>
        <sz val="9.0"/>
      </rPr>
      <t>天空</t>
    </r>
    <r>
      <rPr>
        <rFont val="Arial"/>
        <sz val="9.0"/>
      </rPr>
      <t>璋</t>
    </r>
  </si>
  <si>
    <t>回</t>
  </si>
  <si>
    <t>〜9歳</t>
  </si>
  <si>
    <t>10〜14歳</t>
  </si>
  <si>
    <t>15〜19歳</t>
  </si>
  <si>
    <t>20〜24歳</t>
  </si>
  <si>
    <t>25〜29歳</t>
  </si>
  <si>
    <t>30〜34歳</t>
  </si>
  <si>
    <t>35〜39歳</t>
  </si>
  <si>
    <t>40〜44歳</t>
  </si>
  <si>
    <t>45〜49歳</t>
  </si>
  <si>
    <t>50歳〜</t>
  </si>
  <si>
    <t>合計数</t>
  </si>
  <si>
    <t>平均年齢</t>
  </si>
  <si>
    <t>重み付き和</t>
  </si>
  <si>
    <t>男性</t>
  </si>
  <si>
    <t>12966人</t>
  </si>
  <si>
    <t>17193人</t>
  </si>
  <si>
    <t>18485人</t>
  </si>
  <si>
    <t>18938人</t>
  </si>
  <si>
    <t>女性</t>
  </si>
  <si>
    <t>1606人</t>
  </si>
  <si>
    <t>1937人</t>
  </si>
  <si>
    <t>1841人</t>
  </si>
  <si>
    <t>1952人</t>
  </si>
  <si>
    <t>その他</t>
  </si>
  <si>
    <t>北海道</t>
  </si>
  <si>
    <t>北東北（青森・岩手・秋田）</t>
  </si>
  <si>
    <t>南東北（宮城・山形・福島）</t>
  </si>
  <si>
    <t>北関東（茨城・栃木・群馬）</t>
  </si>
  <si>
    <t>南関東（埼玉・千葉・東京・神奈川）</t>
  </si>
  <si>
    <t>北陸（富山・石川・福井）</t>
  </si>
  <si>
    <t>甲信越（新潟・山梨・長野）</t>
  </si>
  <si>
    <t>東海（愛知・三重・岐阜・静岡）</t>
  </si>
  <si>
    <t>近畿（大阪・京都・兵庫・奈良・滋賀・和歌山）</t>
  </si>
  <si>
    <t>中国（鳥取・島根・岡山・広島・山口）</t>
  </si>
  <si>
    <t>四国（徳島・愛媛・香川・高知）</t>
  </si>
  <si>
    <t>九州北部（福岡・佐賀・長崎・大分）</t>
  </si>
  <si>
    <t>九州南部（熊本・宮崎・鹿児島・沖縄）</t>
  </si>
  <si>
    <t>日本国外：東アジア（中国・台湾・韓国など）</t>
  </si>
  <si>
    <t>日本国外：東南アジア</t>
  </si>
  <si>
    <t>日本国外：南・中央・西アジア</t>
  </si>
  <si>
    <t>日本国外：ヨーロッパ</t>
  </si>
  <si>
    <t>日本国外：アフリカ</t>
  </si>
  <si>
    <t>日本国外：北アメリカ</t>
  </si>
  <si>
    <t>日本国外：南アメリカ</t>
  </si>
  <si>
    <t>日本国外：オセアニア</t>
  </si>
  <si>
    <t>Track Name</t>
  </si>
  <si>
    <t>Notes</t>
  </si>
  <si>
    <t>（タイトル）</t>
  </si>
  <si>
    <t>日常坐臥</t>
  </si>
  <si>
    <t>（会話曲）</t>
  </si>
  <si>
    <t>地の色は黄色</t>
  </si>
  <si>
    <t>（ステージ博麗神社(壊)）</t>
  </si>
  <si>
    <t>甲論乙駁</t>
  </si>
  <si>
    <t>風光明媚</t>
  </si>
  <si>
    <t>香る樹葉花</t>
  </si>
  <si>
    <t>（ステージ魔法の森）</t>
  </si>
  <si>
    <t>踊る水飛沫</t>
  </si>
  <si>
    <t>（ステージ玄武の沢）</t>
  </si>
  <si>
    <t>以魚駆蠅</t>
  </si>
  <si>
    <t>放縦不羈</t>
  </si>
  <si>
    <t>嘲りの遊戯</t>
  </si>
  <si>
    <t>（ステージ妖怪の山）</t>
  </si>
  <si>
    <t>冷吟閑酔</t>
  </si>
  <si>
    <t>雲外蒼天</t>
  </si>
  <si>
    <t>（会話曲 衣玖戦前など）</t>
  </si>
  <si>
    <t>黒い海に紅く　～</t>
  </si>
  <si>
    <t>（ステージ玄雲海 / 永江衣玖のテーマ） （ZUN）</t>
  </si>
  <si>
    <t>天衣無縫</t>
  </si>
  <si>
    <t>（会話曲 天子戦前）</t>
  </si>
  <si>
    <t>有頂天変　～</t>
  </si>
  <si>
    <t>（ステージ有頂天 / 比那名居天子のテーマ） （ZUN）</t>
  </si>
  <si>
    <t>幼心地の有頂天</t>
  </si>
  <si>
    <t>（「全人類の緋想天」）（ZUN）</t>
  </si>
  <si>
    <t>暮色蒼然</t>
  </si>
  <si>
    <t>（エンディング）</t>
  </si>
  <si>
    <t>君はあの影を見たか</t>
  </si>
  <si>
    <t>タイトル）</t>
  </si>
  <si>
    <t>伝説の巨神</t>
  </si>
  <si>
    <t>会話曲）</t>
  </si>
  <si>
    <t>ぼくらの非想天則</t>
  </si>
  <si>
    <t>人形のある風景</t>
  </si>
  <si>
    <t>悠久の蒸気機関</t>
  </si>
  <si>
    <t>スタッフロール）</t>
  </si>
  <si>
    <t>アンノウンX　～ Unfound Adventure</t>
  </si>
  <si>
    <t>最終面戦闘曲）</t>
  </si>
  <si>
    <t>空に浮かぶ物体X</t>
  </si>
  <si>
    <t>ファイナルスペル）</t>
  </si>
  <si>
    <t>異変の種子</t>
  </si>
  <si>
    <t>本編中に「異変の種子」が成長していくので同一記事にまとめた。</t>
  </si>
  <si>
    <t>意気揚々</t>
  </si>
  <si>
    <t>知略縦横</t>
  </si>
  <si>
    <t>異心同体</t>
  </si>
  <si>
    <t>合縁奇縁</t>
  </si>
  <si>
    <t>憑依投合</t>
  </si>
  <si>
    <t>連帯責人</t>
  </si>
  <si>
    <t>壮言大語</t>
  </si>
  <si>
    <t>開演間近</t>
  </si>
  <si>
    <t>天衣無縫　～ Yellow Lily</t>
  </si>
  <si>
    <t>エンディング</t>
  </si>
  <si>
    <t>行雲流水</t>
  </si>
  <si>
    <t>未だ蕾む憑依華</t>
  </si>
  <si>
    <t>咲き誇る憑依華</t>
  </si>
  <si>
    <t>地の色は黄色 ～ Primrose</t>
  </si>
  <si>
    <t>博麗神社）</t>
  </si>
  <si>
    <t>マッシュルーム・ワルツ</t>
  </si>
  <si>
    <t>香霖堂）</t>
  </si>
  <si>
    <t>聖輦船空を往く</t>
  </si>
  <si>
    <t>雲上の宝船）</t>
  </si>
  <si>
    <t>法力の下の平等</t>
  </si>
  <si>
    <t>命蓮寺）</t>
  </si>
  <si>
    <t>恒常不変の参廟祀</t>
  </si>
  <si>
    <t>夢殿大祀廟）</t>
  </si>
  <si>
    <t>光り輝く天球儀</t>
  </si>
  <si>
    <t>神霊廟）</t>
  </si>
  <si>
    <t>沢の河童の技術力</t>
  </si>
  <si>
    <t>玄武の沢）</t>
  </si>
  <si>
    <t>地底に咲く薔薇</t>
  </si>
  <si>
    <t>地霊殿）</t>
  </si>
  <si>
    <t>深緑の狸森にて</t>
  </si>
  <si>
    <t>妖怪狸の森）</t>
  </si>
  <si>
    <t>心綺楼演舞</t>
  </si>
  <si>
    <t>人間の里）</t>
  </si>
  <si>
    <t>不滅のレッドソウル</t>
  </si>
  <si>
    <t>迷いの竹林）</t>
  </si>
  <si>
    <t>落日に映える逆さ城</t>
  </si>
  <si>
    <t>輝針城）</t>
  </si>
  <si>
    <t>千の試練を超えて</t>
  </si>
  <si>
    <t>華扇の仙界）</t>
  </si>
  <si>
    <t>夢世界フォークロア</t>
  </si>
  <si>
    <t>外の世界）</t>
  </si>
  <si>
    <t>永遠に続く回廊</t>
  </si>
  <si>
    <t>永遠亭）</t>
  </si>
  <si>
    <t>スリープシープ･パレード</t>
  </si>
  <si>
    <t>夢の世界）</t>
  </si>
  <si>
    <t>至る有頂天</t>
  </si>
  <si>
    <t>天界）</t>
  </si>
  <si>
    <t>憑坐は夢と現の間に　～ Necro-Fantasia</t>
  </si>
  <si>
    <t>異変の神社） 八雲紫戦</t>
  </si>
  <si>
    <t>今宵は飄逸なエゴイスト(Live ver)　～ Egoistic Flowers.</t>
  </si>
  <si>
    <t>太陽のライブステージ）</t>
  </si>
  <si>
    <t>オカルトアトラクト 一部の神子、魔理沙戦</t>
  </si>
  <si>
    <t>ネオ竹林インフレイム 一部の霊夢戦</t>
  </si>
  <si>
    <t>億万劫の鐘 一部の白蓮戦</t>
  </si>
  <si>
    <t>アンノウンX ～ Occultly Madness 一部ストーリー・ラスボス戦</t>
  </si>
  <si>
    <t>心揺さぶる都市伝説</t>
  </si>
  <si>
    <t>タイトル曲）</t>
  </si>
  <si>
    <t>幻想郷ふしぎ発見</t>
  </si>
  <si>
    <t>キャラクター選択）</t>
  </si>
  <si>
    <t>ボールのある日常</t>
  </si>
  <si>
    <t>顕現した伝承の形</t>
  </si>
  <si>
    <t>時代の風の訪れ</t>
  </si>
  <si>
    <t>価値がわからない</t>
  </si>
  <si>
    <t>可能性を信じて</t>
  </si>
  <si>
    <t>真実を知る者</t>
  </si>
  <si>
    <t>外界フォークロア</t>
  </si>
  <si>
    <t>オカルトアラカルト</t>
  </si>
  <si>
    <t>戦闘曲）</t>
  </si>
  <si>
    <t>七玉蒐集ショウダウン</t>
  </si>
  <si>
    <t>公正なる奪い合い</t>
  </si>
  <si>
    <t>対蹠地の鐘</t>
  </si>
  <si>
    <t>竹林インフレイム</t>
  </si>
  <si>
    <t>各々の結末</t>
  </si>
  <si>
    <t>エンディングテーマ）</t>
  </si>
  <si>
    <t>明かされる深秘</t>
  </si>
  <si>
    <t>スタッフロールテーマ）</t>
  </si>
  <si>
    <t>華狭間のバトルフィールド</t>
  </si>
  <si>
    <t>茨木華扇のテーマ）</t>
  </si>
  <si>
    <t>ラストオカルティズム　～ 現し世の秘術師</t>
  </si>
  <si>
    <t>宇佐見菫子のテーマ）</t>
  </si>
  <si>
    <t>オープニング～タイトル曲）</t>
  </si>
  <si>
    <t>Demystify Feast</t>
  </si>
  <si>
    <t>ストーリーモード宴会直前の戦闘のテーマ）</t>
  </si>
  <si>
    <t>夜が降りてくる　～ Evening Star</t>
  </si>
  <si>
    <t>八雲紫のテーマ）</t>
  </si>
  <si>
    <t>御伽の国の鬼が島　～ Missing Power</t>
  </si>
  <si>
    <t>伊吹萃香のテーマ）</t>
  </si>
  <si>
    <t>夏明き</t>
  </si>
  <si>
    <t>エンディングで流れる曲）</t>
  </si>
  <si>
    <t>東方萃夢想</t>
  </si>
  <si>
    <t>スタッフロールの曲）</t>
  </si>
  <si>
    <t>魔所</t>
  </si>
  <si>
    <t>月輪</t>
  </si>
  <si>
    <t>萃香ストーリー・ステージ5の会話曲1）</t>
  </si>
  <si>
    <t>遍参</t>
  </si>
  <si>
    <t>主に博麗神社の会話曲）</t>
  </si>
  <si>
    <t>裏心</t>
  </si>
  <si>
    <t>妖夢・パチュリー・ステージ6の会話曲1）</t>
  </si>
  <si>
    <t>Intermezzo</t>
  </si>
  <si>
    <t>咲夜ストーリー・ステージ2の会話曲）</t>
  </si>
  <si>
    <t>あゆのかぜ</t>
  </si>
  <si>
    <t>主に咲夜の会話曲）</t>
  </si>
  <si>
    <t>森閑</t>
  </si>
  <si>
    <t>萃香ストーリー・ステージ2の会話曲）</t>
  </si>
  <si>
    <t>仰空</t>
  </si>
  <si>
    <t>幽境</t>
  </si>
  <si>
    <t>霊夢・魔理沙・アリス・妖夢・ステージ1の会話曲）</t>
  </si>
  <si>
    <t>珍客</t>
  </si>
  <si>
    <t>紅夜</t>
  </si>
  <si>
    <t>主にレミリアの会話曲）</t>
  </si>
  <si>
    <t>戦迅</t>
  </si>
  <si>
    <t>主に八雲紫出現時の会話曲）</t>
  </si>
  <si>
    <t>禍機</t>
  </si>
  <si>
    <t>博麗神社の会話曲）</t>
  </si>
  <si>
    <t>砕月</t>
  </si>
  <si>
    <t>最終ステージの会話曲）</t>
  </si>
  <si>
    <t>幻想郷の二ッ岩</t>
  </si>
  <si>
    <t>ステージ妖怪狸の森夜） / 二ッ岩マミゾウのテーマ）</t>
  </si>
  <si>
    <t>亡失のエモーション</t>
  </si>
  <si>
    <t>ステージ人間の里夜） / 秦こころのテーマ）</t>
  </si>
  <si>
    <t>人気爆発</t>
  </si>
  <si>
    <t>1.20以降）</t>
  </si>
  <si>
    <t>塵界不変のペシミズム</t>
  </si>
  <si>
    <t>オープニング）</t>
  </si>
  <si>
    <t>心綺楼囃子</t>
  </si>
  <si>
    <t>人気のある場所</t>
  </si>
  <si>
    <t>人気のない場所</t>
  </si>
  <si>
    <t>丑三つ時の里</t>
  </si>
  <si>
    <t>会話曲 こころ戦前）</t>
  </si>
  <si>
    <t>本日の一面記事</t>
  </si>
  <si>
    <t>勝利）</t>
  </si>
  <si>
    <t>暁雲</t>
  </si>
  <si>
    <t>エンディング）</t>
  </si>
  <si>
    <t>官板黄昏新聞</t>
  </si>
  <si>
    <t>バタビヤ新聞から。(仮にここに置かせて貰います)</t>
  </si>
  <si>
    <t>演者選択</t>
  </si>
  <si>
    <t>キャラクター選択、1.20以降）</t>
  </si>
  <si>
    <t>ラストワード発動</t>
  </si>
  <si>
    <t>東方プロジェクトを知った時期</t>
  </si>
  <si>
    <t>旧作～秋霜玉（2000年12月）</t>
  </si>
  <si>
    <t>秋霜玉～紅魔郷（2002年8月）</t>
  </si>
  <si>
    <t>紅魔郷～妖々夢（2003年8月）</t>
  </si>
  <si>
    <t>妖々夢～永夜抄（2004年8月）</t>
  </si>
  <si>
    <t>永夜抄～萃夢想（2004年12月）</t>
  </si>
  <si>
    <t>萃夢想～花映塚（2005年8月）</t>
  </si>
  <si>
    <t>花映塚～文花帖（2005年12月）</t>
  </si>
  <si>
    <t>文花帖～求聞史紀（2006年12月）</t>
  </si>
  <si>
    <t>求聞史紀～風神録（2007年8月）</t>
  </si>
  <si>
    <t>風神録～地霊殿（2008年8月）</t>
  </si>
  <si>
    <t>地霊殿～星蓮船（2009年8月）</t>
  </si>
  <si>
    <t>星蓮船～妖精大戦争（2010年8月）</t>
  </si>
  <si>
    <t>妖精大戦争～神霊廟（2011年8月）</t>
  </si>
  <si>
    <t>神霊廟～求聞口授（2012年4月）</t>
  </si>
  <si>
    <t>求聞口授～輝針城（2013年8月）</t>
  </si>
  <si>
    <t>輝針城～アマノジャク（2014年5月）</t>
  </si>
  <si>
    <t>アマノジャク～紺珠伝（2015年8月）</t>
  </si>
  <si>
    <t>紺珠伝～旧約酒場（2016年8月）</t>
  </si>
  <si>
    <t>旧約酒場～天空璋（2017年8月）</t>
  </si>
  <si>
    <t>天空璋～鬼形獣（2019年8月）</t>
  </si>
  <si>
    <t>鬼形獣～虹龍洞（2021年5月）</t>
  </si>
  <si>
    <t>虹龍洞～</t>
  </si>
  <si>
    <t>合計</t>
  </si>
  <si>
    <t>東方プロジェクトを知った時期(割合)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</si>
</sst>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9.0"/>
      <color theme="1"/>
      <name val="Verdana"/>
    </font>
    <font>
      <sz val="9.0"/>
      <color theme="1"/>
      <name val="Arial"/>
    </font>
    <font>
      <sz val="9.0"/>
      <color theme="1"/>
      <name val="Sans-serif"/>
    </font>
    <font>
      <u/>
      <sz val="9.0"/>
      <color rgb="FF0000FF"/>
      <name val="Sans-serif"/>
    </font>
    <font>
      <u/>
      <sz val="9.0"/>
      <color rgb="FF000000"/>
      <name val="Arial"/>
    </font>
    <font>
      <u/>
      <sz val="9.0"/>
      <color rgb="FF3366CC"/>
      <name val="Sans-serif"/>
    </font>
    <font>
      <u/>
      <sz val="9.0"/>
      <color rgb="FF3366CC"/>
      <name val="Arial"/>
    </font>
    <font>
      <u/>
      <sz val="9.0"/>
      <color rgb="FF3366CC"/>
      <name val="Arial"/>
    </font>
    <font>
      <b/>
      <sz val="9.0"/>
      <color theme="1"/>
      <name val="Sans-serif"/>
    </font>
    <font>
      <sz val="9.0"/>
      <color rgb="FF3366CC"/>
      <name val="Sans-serif"/>
    </font>
    <font>
      <sz val="9.0"/>
      <color rgb="FF3366CC"/>
      <name val="Arial"/>
    </font>
    <font>
      <u/>
      <color rgb="FF0000FF"/>
    </font>
    <font>
      <u/>
      <sz val="9.0"/>
      <color rgb="FF0000FF"/>
      <name val="Sans-serif"/>
    </font>
    <font>
      <u/>
      <sz val="9.0"/>
      <color rgb="FF000000"/>
      <name val="Arial"/>
    </font>
    <font>
      <u/>
      <sz val="9.0"/>
      <color rgb="FF3366CC"/>
      <name val="Sans-serif"/>
    </font>
    <font>
      <u/>
      <sz val="9.0"/>
      <color rgb="FF3366CC"/>
      <name val="Sans-serif"/>
    </font>
    <font>
      <u/>
      <sz val="9.0"/>
      <color rgb="FF3366CC"/>
      <name val="Arial"/>
    </font>
    <font>
      <u/>
      <sz val="9.0"/>
      <color rgb="FF3366CC"/>
      <name val="Arial"/>
    </font>
    <font>
      <color theme="1"/>
      <name val="Arial"/>
    </font>
    <font>
      <sz val="11.0"/>
      <color rgb="FF202122"/>
      <name val="Arial"/>
    </font>
    <font>
      <u/>
      <sz val="9.0"/>
      <color rgb="FF0000FF"/>
      <name val="Arial"/>
    </font>
    <font>
      <u/>
      <sz val="9.0"/>
      <color rgb="FF3366CC"/>
      <name val="Sans-serif"/>
    </font>
    <font>
      <u/>
      <sz val="9.0"/>
      <color rgb="FF3366CC"/>
      <name val="Arial"/>
    </font>
    <font>
      <u/>
      <sz val="9.0"/>
      <color rgb="FF3366CC"/>
      <name val="Sans-serif"/>
    </font>
    <font>
      <sz val="11.0"/>
      <color rgb="FF202122"/>
      <name val="Sans-serif"/>
    </font>
    <font>
      <sz val="11.0"/>
      <color rgb="FF007AB3"/>
      <name val="Arial"/>
    </font>
    <font>
      <color rgb="FF215DC6"/>
      <name val="Verdana"/>
    </font>
    <font>
      <u/>
      <sz val="11.0"/>
      <color rgb="FF1E7DC0"/>
    </font>
    <font>
      <color rgb="FF000000"/>
      <name val="Arial"/>
      <scheme val="minor"/>
    </font>
    <font>
      <u/>
      <sz val="11.0"/>
      <color rgb="FF007AB3"/>
      <name val="Arial"/>
    </font>
    <font>
      <u/>
      <sz val="11.0"/>
      <color rgb="FF000000"/>
      <name val="Arial"/>
    </font>
    <font>
      <u/>
      <sz val="11.0"/>
      <color rgb="FF1E7DC0"/>
      <name val="Avenir"/>
    </font>
    <font>
      <u/>
      <sz val="11.0"/>
      <color rgb="FF1E7DC0"/>
      <name val="Avenir"/>
    </font>
    <font>
      <sz val="11.0"/>
      <color rgb="FF000000"/>
      <name val="Arial"/>
    </font>
    <font>
      <u/>
      <color rgb="FF215DC6"/>
      <name val="Verdana"/>
    </font>
    <font>
      <sz val="8.0"/>
      <color rgb="FF215DC6"/>
      <name val="Verdana"/>
    </font>
    <font>
      <sz val="11.0"/>
      <color rgb="FF3366CC"/>
      <name val="Sans-serif"/>
    </font>
    <font>
      <u/>
      <sz val="11.0"/>
      <color rgb="FF1E7DC0"/>
      <name val="Avenir"/>
    </font>
    <font>
      <b/>
      <sz val="11.0"/>
      <color rgb="FF000000"/>
      <name val="Arial"/>
    </font>
    <font>
      <b/>
      <sz val="12.0"/>
      <color rgb="FF000000"/>
      <name val="Arial"/>
    </font>
    <font>
      <u/>
      <color rgb="FF215DC6"/>
      <name val="Verdana"/>
    </font>
    <font>
      <b/>
      <sz val="11.0"/>
      <color rgb="FF1E7DC0"/>
      <name val="Arial"/>
      <scheme val="minor"/>
    </font>
    <font>
      <sz val="11.0"/>
      <color rgb="FF444444"/>
      <name val="Arial"/>
      <scheme val="minor"/>
    </font>
    <font>
      <sz val="11.0"/>
      <color rgb="FF1E7DC0"/>
      <name val="Arial"/>
      <scheme val="minor"/>
    </font>
    <font>
      <sz val="11.0"/>
      <color theme="1"/>
      <name val="Arial"/>
      <scheme val="minor"/>
    </font>
    <font>
      <sz val="11.0"/>
      <color rgb="FF333333"/>
      <name val="Arial"/>
    </font>
    <font>
      <sz val="11.0"/>
      <color rgb="FF4C4C4C"/>
      <name val="Avenir"/>
    </font>
    <font>
      <b/>
      <color rgb="FF444444"/>
      <name val="&quot;Hiragino Mincho ProN&quot;"/>
    </font>
    <font>
      <b/>
      <color rgb="FF444444"/>
      <name val="Arial"/>
    </font>
    <font>
      <color theme="1"/>
      <name val="&quot;VL PGothic&quot;"/>
    </font>
    <font>
      <sz val="9.0"/>
      <color rgb="FF333333"/>
      <name val="&quot;ヒラギノ角ゴ ProN W3&quot;"/>
    </font>
    <font>
      <color rgb="FF191970"/>
      <name val="&quot;VL PGothic&quot;"/>
    </font>
    <font>
      <sz val="9.0"/>
      <color rgb="FFD4D4D4"/>
      <name val="Menlo"/>
    </font>
    <font>
      <sz val="9.0"/>
      <color rgb="FFD4D4D4"/>
      <name val="Arial"/>
    </font>
    <font>
      <u/>
      <color rgb="FF0000FF"/>
      <name val="Verdana"/>
    </font>
    <font>
      <color rgb="FF0000FF"/>
      <name val="Verdana"/>
    </font>
    <font>
      <color rgb="FF333333"/>
      <name val="Verdana"/>
    </font>
    <font>
      <u/>
      <color rgb="FF0000FF"/>
      <name val="Verdana"/>
    </font>
    <font>
      <u/>
      <color rgb="FF0000FF"/>
      <name val="Verdana"/>
    </font>
    <font>
      <u/>
      <color rgb="FFFF3300"/>
      <name val="Verdana"/>
    </font>
    <font>
      <u/>
      <color rgb="FF0000FF"/>
      <name val="Verdana"/>
    </font>
    <font>
      <color rgb="FFFF3300"/>
      <name val="Verdana"/>
    </font>
    <font>
      <color theme="1"/>
      <name val="&quot;Hiragino Kaku Gothic ProN&quot;"/>
    </font>
  </fonts>
  <fills count="10">
    <fill>
      <patternFill patternType="none"/>
    </fill>
    <fill>
      <patternFill patternType="lightGray"/>
    </fill>
    <fill>
      <patternFill patternType="solid">
        <fgColor rgb="FFEEF5FF"/>
        <bgColor rgb="FFEEF5F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CDDEE"/>
        <bgColor rgb="FFCCDDEE"/>
      </patternFill>
    </fill>
    <fill>
      <patternFill patternType="solid">
        <fgColor rgb="FFF5F5F5"/>
        <bgColor rgb="FFF5F5F5"/>
      </patternFill>
    </fill>
    <fill>
      <patternFill patternType="solid">
        <fgColor rgb="FFF0F8FF"/>
        <bgColor rgb="FFF0F8FF"/>
      </patternFill>
    </fill>
    <fill>
      <patternFill patternType="solid">
        <fgColor rgb="FF1E1E1E"/>
        <bgColor rgb="FF1E1E1E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A2A9B1"/>
      </left>
      <right style="thin">
        <color rgb="FF228B22"/>
      </right>
      <top style="thin">
        <color rgb="FFA2A9B1"/>
      </top>
      <bottom style="thin">
        <color rgb="FFA2A9B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</border>
    <border>
      <top style="thin">
        <color rgb="FF707070"/>
      </top>
      <bottom style="thin">
        <color rgb="FF707070"/>
      </bottom>
    </border>
    <border>
      <bottom style="thin">
        <color rgb="FF333333"/>
      </bottom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2" fontId="3" numFmtId="0" xfId="0" applyAlignment="1" applyFont="1">
      <alignment horizontal="left"/>
    </xf>
    <xf borderId="1" fillId="0" fontId="11" numFmtId="0" xfId="0" applyAlignment="1" applyBorder="1" applyFont="1">
      <alignment horizontal="right" readingOrder="0"/>
    </xf>
    <xf borderId="0" fillId="0" fontId="5" numFmtId="0" xfId="0" applyAlignment="1" applyFont="1">
      <alignment horizontal="left" readingOrder="0"/>
    </xf>
    <xf borderId="0" fillId="0" fontId="12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  <xf borderId="0" fillId="0" fontId="1" numFmtId="0" xfId="0" applyFont="1"/>
    <xf borderId="0" fillId="0" fontId="1" numFmtId="0" xfId="0" applyFont="1"/>
    <xf borderId="0" fillId="0" fontId="1" numFmtId="0" xfId="0" applyFont="1"/>
    <xf borderId="0" fillId="0" fontId="14" numFmtId="0" xfId="0" applyFont="1"/>
    <xf borderId="0" fillId="0" fontId="3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/>
    </xf>
    <xf borderId="2" fillId="3" fontId="3" numFmtId="0" xfId="0" applyAlignment="1" applyBorder="1" applyFill="1" applyFont="1">
      <alignment readingOrder="0" shrinkToFit="0" vertical="center" wrapText="0"/>
    </xf>
    <xf borderId="2" fillId="3" fontId="3" numFmtId="0" xfId="0" applyAlignment="1" applyBorder="1" applyFont="1">
      <alignment horizontal="right"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horizontal="right"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horizontal="right" readingOrder="0" shrinkToFit="0" vertical="center" wrapText="0"/>
    </xf>
    <xf borderId="0" fillId="0" fontId="1" numFmtId="0" xfId="0" applyAlignment="1" applyFont="1">
      <alignment horizontal="right" readingOrder="0"/>
    </xf>
    <xf borderId="2" fillId="0" fontId="4" numFmtId="0" xfId="0" applyAlignment="1" applyBorder="1" applyFont="1">
      <alignment readingOrder="0" shrinkToFit="0" vertical="center" wrapText="0"/>
    </xf>
    <xf borderId="2" fillId="0" fontId="15" numFmtId="0" xfId="0" applyAlignment="1" applyBorder="1" applyFont="1">
      <alignment horizontal="right" readingOrder="0"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2" fillId="2" fontId="16" numFmtId="0" xfId="0" applyAlignment="1" applyBorder="1" applyFont="1">
      <alignment horizontal="right" readingOrder="0" shrinkToFit="0" vertical="center" wrapText="0"/>
    </xf>
    <xf borderId="2" fillId="2" fontId="1" numFmtId="0" xfId="0" applyAlignment="1" applyBorder="1" applyFont="1">
      <alignment readingOrder="0" shrinkToFit="0" vertical="center" wrapText="0"/>
    </xf>
    <xf borderId="2" fillId="2" fontId="17" numFmtId="0" xfId="0" applyAlignment="1" applyBorder="1" applyFont="1">
      <alignment horizontal="right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8" numFmtId="0" xfId="0" applyAlignment="1" applyBorder="1" applyFont="1">
      <alignment horizontal="right" readingOrder="0" shrinkToFit="0" vertical="center" wrapText="0"/>
    </xf>
    <xf borderId="2" fillId="0" fontId="19" numFmtId="0" xfId="0" applyAlignment="1" applyBorder="1" applyFont="1">
      <alignment horizontal="right" readingOrder="0" shrinkToFit="0" vertical="center" wrapText="0"/>
    </xf>
    <xf borderId="2" fillId="2" fontId="20" numFmtId="0" xfId="0" applyAlignment="1" applyBorder="1" applyFont="1">
      <alignment horizontal="right" readingOrder="0" shrinkToFit="0" vertical="center" wrapText="0"/>
    </xf>
    <xf borderId="0" fillId="0" fontId="1" numFmtId="0" xfId="0" applyAlignment="1" applyFont="1">
      <alignment readingOrder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2" fillId="0" fontId="3" numFmtId="0" xfId="0" applyAlignment="1" applyBorder="1" applyFont="1">
      <alignment horizontal="right" readingOrder="0"/>
    </xf>
    <xf borderId="2" fillId="2" fontId="3" numFmtId="0" xfId="0" applyAlignment="1" applyBorder="1" applyFont="1">
      <alignment horizontal="right" readingOrder="0"/>
    </xf>
    <xf borderId="2" fillId="0" fontId="4" numFmtId="0" xfId="0" applyAlignment="1" applyBorder="1" applyFont="1">
      <alignment horizontal="right" readingOrder="0"/>
    </xf>
    <xf borderId="2" fillId="2" fontId="1" numFmtId="0" xfId="0" applyAlignment="1" applyBorder="1" applyFont="1">
      <alignment horizontal="right" readingOrder="0"/>
    </xf>
    <xf borderId="2" fillId="0" fontId="1" numFmtId="0" xfId="0" applyAlignment="1" applyBorder="1" applyFont="1">
      <alignment horizontal="right" readingOrder="0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21" numFmtId="0" xfId="0" applyAlignment="1" applyFont="1">
      <alignment horizontal="right" vertical="bottom"/>
    </xf>
    <xf borderId="3" fillId="2" fontId="3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3" fillId="0" fontId="21" numFmtId="0" xfId="0" applyAlignment="1" applyBorder="1" applyFont="1">
      <alignment horizontal="right" vertical="bottom"/>
    </xf>
    <xf borderId="4" fillId="2" fontId="3" numFmtId="0" xfId="0" applyAlignment="1" applyBorder="1" applyFont="1">
      <alignment horizontal="right" vertical="bottom"/>
    </xf>
    <xf borderId="4" fillId="2" fontId="21" numFmtId="0" xfId="0" applyAlignment="1" applyBorder="1" applyFont="1">
      <alignment horizontal="right" vertical="bottom"/>
    </xf>
    <xf borderId="0" fillId="4" fontId="22" numFmtId="0" xfId="0" applyAlignment="1" applyFill="1" applyFont="1">
      <alignment horizontal="left" readingOrder="0"/>
    </xf>
    <xf borderId="0" fillId="0" fontId="23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0" fontId="26" numFmtId="0" xfId="0" applyAlignment="1" applyFont="1">
      <alignment shrinkToFit="0" vertical="bottom" wrapText="0"/>
    </xf>
    <xf borderId="0" fillId="4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horizontal="left" readingOrder="0"/>
    </xf>
    <xf borderId="0" fillId="4" fontId="22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33" numFmtId="0" xfId="0" applyAlignment="1" applyFont="1">
      <alignment horizontal="left" readingOrder="0"/>
    </xf>
    <xf borderId="0" fillId="0" fontId="34" numFmtId="0" xfId="0" applyAlignment="1" applyFont="1">
      <alignment horizontal="left" readingOrder="0"/>
    </xf>
    <xf borderId="0" fillId="0" fontId="35" numFmtId="0" xfId="0" applyAlignment="1" applyFont="1">
      <alignment horizontal="left" readingOrder="0"/>
    </xf>
    <xf borderId="0" fillId="0" fontId="36" numFmtId="0" xfId="0" applyAlignment="1" applyFont="1">
      <alignment horizontal="left" readingOrder="0"/>
    </xf>
    <xf borderId="0" fillId="5" fontId="37" numFmtId="0" xfId="0" applyAlignment="1" applyFill="1" applyFont="1">
      <alignment readingOrder="0"/>
    </xf>
    <xf borderId="0" fillId="0" fontId="38" numFmtId="0" xfId="0" applyAlignment="1" applyFont="1">
      <alignment horizontal="right"/>
    </xf>
    <xf borderId="0" fillId="0" fontId="29" numFmtId="0" xfId="0" applyFont="1"/>
    <xf borderId="0" fillId="0" fontId="39" numFmtId="0" xfId="0" applyAlignment="1" applyFont="1">
      <alignment readingOrder="0"/>
    </xf>
    <xf borderId="0" fillId="0" fontId="40" numFmtId="0" xfId="0" applyAlignment="1" applyFont="1">
      <alignment horizontal="left" readingOrder="0"/>
    </xf>
    <xf borderId="0" fillId="0" fontId="41" numFmtId="0" xfId="0" applyAlignment="1" applyFont="1">
      <alignment readingOrder="0"/>
    </xf>
    <xf borderId="0" fillId="0" fontId="42" numFmtId="0" xfId="0" applyAlignment="1" applyFont="1">
      <alignment readingOrder="0"/>
    </xf>
    <xf borderId="0" fillId="5" fontId="43" numFmtId="0" xfId="0" applyFont="1"/>
    <xf borderId="0" fillId="0" fontId="38" numFmtId="0" xfId="0" applyAlignment="1" applyFont="1">
      <alignment horizontal="right" readingOrder="0"/>
    </xf>
    <xf borderId="0" fillId="0" fontId="44" numFmtId="0" xfId="0" applyAlignment="1" applyFont="1">
      <alignment horizontal="center" readingOrder="0"/>
    </xf>
    <xf borderId="0" fillId="0" fontId="45" numFmtId="0" xfId="0" applyAlignment="1" applyFont="1">
      <alignment readingOrder="0"/>
    </xf>
    <xf borderId="0" fillId="0" fontId="46" numFmtId="0" xfId="0" applyAlignment="1" applyFont="1">
      <alignment readingOrder="0"/>
    </xf>
    <xf borderId="5" fillId="0" fontId="47" numFmtId="0" xfId="0" applyAlignment="1" applyBorder="1" applyFont="1">
      <alignment readingOrder="0"/>
    </xf>
    <xf borderId="0" fillId="0" fontId="48" numFmtId="0" xfId="0" applyAlignment="1" applyFont="1">
      <alignment readingOrder="0"/>
    </xf>
    <xf borderId="5" fillId="0" fontId="49" numFmtId="0" xfId="0" applyAlignment="1" applyBorder="1" applyFont="1">
      <alignment horizontal="left" readingOrder="0"/>
    </xf>
    <xf borderId="0" fillId="6" fontId="50" numFmtId="0" xfId="0" applyAlignment="1" applyFill="1" applyFont="1">
      <alignment horizontal="left" readingOrder="0"/>
    </xf>
    <xf borderId="0" fillId="4" fontId="51" numFmtId="0" xfId="0" applyAlignment="1" applyFont="1">
      <alignment horizontal="right" readingOrder="0"/>
    </xf>
    <xf borderId="0" fillId="4" fontId="50" numFmtId="10" xfId="0" applyAlignment="1" applyFont="1" applyNumberFormat="1">
      <alignment horizontal="right" readingOrder="0"/>
    </xf>
    <xf borderId="0" fillId="7" fontId="21" numFmtId="0" xfId="0" applyAlignment="1" applyFill="1" applyFont="1">
      <alignment readingOrder="0"/>
    </xf>
    <xf borderId="0" fillId="7" fontId="52" numFmtId="0" xfId="0" applyFont="1"/>
    <xf borderId="0" fillId="6" fontId="51" numFmtId="0" xfId="0" applyAlignment="1" applyFont="1">
      <alignment horizontal="left" readingOrder="0"/>
    </xf>
    <xf borderId="6" fillId="6" fontId="50" numFmtId="0" xfId="0" applyAlignment="1" applyBorder="1" applyFont="1">
      <alignment horizontal="left" readingOrder="0"/>
    </xf>
    <xf borderId="6" fillId="4" fontId="51" numFmtId="0" xfId="0" applyAlignment="1" applyBorder="1" applyFont="1">
      <alignment horizontal="right" readingOrder="0"/>
    </xf>
    <xf borderId="6" fillId="4" fontId="50" numFmtId="0" xfId="0" applyAlignment="1" applyBorder="1" applyFont="1">
      <alignment horizontal="right" readingOrder="0"/>
    </xf>
    <xf borderId="6" fillId="4" fontId="50" numFmtId="10" xfId="0" applyAlignment="1" applyBorder="1" applyFont="1" applyNumberFormat="1">
      <alignment horizontal="right" readingOrder="0"/>
    </xf>
    <xf borderId="7" fillId="4" fontId="53" numFmtId="0" xfId="0" applyAlignment="1" applyBorder="1" applyFont="1">
      <alignment horizontal="right" readingOrder="0"/>
    </xf>
    <xf borderId="7" fillId="4" fontId="53" numFmtId="10" xfId="0" applyAlignment="1" applyBorder="1" applyFont="1" applyNumberFormat="1">
      <alignment horizontal="right" readingOrder="0"/>
    </xf>
    <xf borderId="8" fillId="7" fontId="52" numFmtId="0" xfId="0" applyAlignment="1" applyBorder="1" applyFont="1">
      <alignment horizontal="right" readingOrder="0"/>
    </xf>
    <xf borderId="8" fillId="7" fontId="52" numFmtId="10" xfId="0" applyAlignment="1" applyBorder="1" applyFont="1" applyNumberFormat="1">
      <alignment horizontal="right" readingOrder="0"/>
    </xf>
    <xf borderId="8" fillId="0" fontId="1" numFmtId="0" xfId="0" applyAlignment="1" applyBorder="1" applyFont="1">
      <alignment horizontal="right" readingOrder="0"/>
    </xf>
    <xf borderId="8" fillId="0" fontId="1" numFmtId="10" xfId="0" applyAlignment="1" applyBorder="1" applyFont="1" applyNumberFormat="1">
      <alignment horizontal="right" readingOrder="0"/>
    </xf>
    <xf borderId="8" fillId="7" fontId="52" numFmtId="0" xfId="0" applyBorder="1" applyFont="1"/>
    <xf borderId="6" fillId="4" fontId="51" numFmtId="3" xfId="0" applyAlignment="1" applyBorder="1" applyFont="1" applyNumberFormat="1">
      <alignment horizontal="right" readingOrder="0"/>
    </xf>
    <xf borderId="6" fillId="4" fontId="50" numFmtId="3" xfId="0" applyAlignment="1" applyBorder="1" applyFont="1" applyNumberFormat="1">
      <alignment horizontal="right" readingOrder="0"/>
    </xf>
    <xf borderId="7" fillId="4" fontId="53" numFmtId="3" xfId="0" applyAlignment="1" applyBorder="1" applyFont="1" applyNumberFormat="1">
      <alignment horizontal="right" readingOrder="0"/>
    </xf>
    <xf borderId="8" fillId="7" fontId="54" numFmtId="0" xfId="0" applyAlignment="1" applyBorder="1" applyFont="1">
      <alignment horizontal="right" readingOrder="0"/>
    </xf>
    <xf borderId="8" fillId="7" fontId="54" numFmtId="10" xfId="0" applyAlignment="1" applyBorder="1" applyFont="1" applyNumberFormat="1">
      <alignment horizontal="right" readingOrder="0"/>
    </xf>
    <xf borderId="0" fillId="8" fontId="55" numFmtId="0" xfId="0" applyAlignment="1" applyFill="1" applyFont="1">
      <alignment readingOrder="0"/>
    </xf>
    <xf borderId="0" fillId="8" fontId="56" numFmtId="0" xfId="0" applyAlignment="1" applyFont="1">
      <alignment readingOrder="0"/>
    </xf>
    <xf borderId="6" fillId="4" fontId="51" numFmtId="10" xfId="0" applyAlignment="1" applyBorder="1" applyFont="1" applyNumberFormat="1">
      <alignment horizontal="right" readingOrder="0"/>
    </xf>
    <xf borderId="0" fillId="8" fontId="55" numFmtId="10" xfId="0" applyAlignment="1" applyFont="1" applyNumberFormat="1">
      <alignment readingOrder="0"/>
    </xf>
    <xf borderId="7" fillId="4" fontId="53" numFmtId="9" xfId="0" applyAlignment="1" applyBorder="1" applyFont="1" applyNumberFormat="1">
      <alignment horizontal="right" readingOrder="0"/>
    </xf>
    <xf borderId="0" fillId="8" fontId="55" numFmtId="9" xfId="0" applyAlignment="1" applyFont="1" applyNumberFormat="1">
      <alignment readingOrder="0"/>
    </xf>
    <xf borderId="0" fillId="4" fontId="57" numFmtId="0" xfId="0" applyAlignment="1" applyFont="1">
      <alignment horizontal="left" readingOrder="0"/>
    </xf>
    <xf borderId="0" fillId="4" fontId="58" numFmtId="0" xfId="0" applyAlignment="1" applyFont="1">
      <alignment horizontal="left" readingOrder="0"/>
    </xf>
    <xf borderId="0" fillId="4" fontId="59" numFmtId="0" xfId="0" applyAlignment="1" applyFont="1">
      <alignment horizontal="left" readingOrder="0"/>
    </xf>
    <xf borderId="0" fillId="9" fontId="60" numFmtId="0" xfId="0" applyAlignment="1" applyFill="1" applyFont="1">
      <alignment horizontal="left" readingOrder="0"/>
    </xf>
    <xf borderId="0" fillId="9" fontId="58" numFmtId="0" xfId="0" applyAlignment="1" applyFont="1">
      <alignment horizontal="left" readingOrder="0"/>
    </xf>
    <xf borderId="0" fillId="4" fontId="58" numFmtId="0" xfId="0" applyAlignment="1" applyFont="1">
      <alignment horizontal="left"/>
    </xf>
    <xf borderId="0" fillId="9" fontId="61" numFmtId="0" xfId="0" applyAlignment="1" applyFont="1">
      <alignment horizontal="left" readingOrder="0"/>
    </xf>
    <xf borderId="0" fillId="4" fontId="62" numFmtId="0" xfId="0" applyAlignment="1" applyFont="1">
      <alignment horizontal="left" readingOrder="0"/>
    </xf>
    <xf borderId="0" fillId="4" fontId="63" numFmtId="0" xfId="0" applyAlignment="1" applyFont="1">
      <alignment horizontal="left" readingOrder="0"/>
    </xf>
    <xf borderId="0" fillId="4" fontId="64" numFmtId="0" xfId="0" applyAlignment="1" applyFont="1">
      <alignment horizontal="left" readingOrder="0"/>
    </xf>
    <xf borderId="0" fillId="9" fontId="58" numFmtId="0" xfId="0" applyAlignment="1" applyFont="1">
      <alignment horizontal="left" readingOrder="0"/>
    </xf>
    <xf borderId="8" fillId="7" fontId="21" numFmtId="0" xfId="0" applyAlignment="1" applyBorder="1" applyFont="1">
      <alignment horizontal="right" readingOrder="0"/>
    </xf>
    <xf borderId="8" fillId="7" fontId="65" numFmtId="10" xfId="0" applyBorder="1" applyFont="1" applyNumberFormat="1"/>
    <xf borderId="0" fillId="7" fontId="65" numFmtId="10" xfId="0" applyFont="1" applyNumberFormat="1"/>
    <xf borderId="8" fillId="7" fontId="65" numFmtId="0" xfId="0" applyAlignment="1" applyBorder="1" applyFont="1">
      <alignment horizontal="right" readingOrder="0"/>
    </xf>
    <xf borderId="0" fillId="8" fontId="55" numFmtId="3" xfId="0" applyAlignment="1" applyFont="1" applyNumberFormat="1">
      <alignment readingOrder="0"/>
    </xf>
    <xf borderId="0" fillId="8" fontId="55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作品サブタイトル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性別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'アンケート年齢性別'!$B$44</c:f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cat>
            <c:strRef>
              <c:f>'アンケート年齢性別'!$A$45:$A$56</c:f>
            </c:strRef>
          </c:cat>
          <c:val>
            <c:numRef>
              <c:f>'アンケート年齢性別'!$B$45:$B$56</c:f>
              <c:numCache/>
            </c:numRef>
          </c:val>
        </c:ser>
        <c:ser>
          <c:idx val="1"/>
          <c:order val="1"/>
          <c:tx>
            <c:strRef>
              <c:f>'アンケート年齢性別'!$C$44</c:f>
            </c:strRef>
          </c:tx>
          <c:spPr>
            <a:solidFill>
              <a:srgbClr val="EFEFEF"/>
            </a:solidFill>
            <a:ln cmpd="sng">
              <a:solidFill>
                <a:srgbClr val="000000"/>
              </a:solidFill>
            </a:ln>
          </c:spPr>
          <c:cat>
            <c:strRef>
              <c:f>'アンケート年齢性別'!$A$45:$A$56</c:f>
            </c:strRef>
          </c:cat>
          <c:val>
            <c:numRef>
              <c:f>'アンケート年齢性別'!$C$45:$C$56</c:f>
              <c:numCache/>
            </c:numRef>
          </c:val>
        </c:ser>
        <c:overlap val="100"/>
        <c:axId val="213147512"/>
        <c:axId val="1928425547"/>
      </c:barChart>
      <c:catAx>
        <c:axId val="2131475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回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8425547"/>
      </c:catAx>
      <c:valAx>
        <c:axId val="19284255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4751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strRef>
              <c:f>'アンケート地域'!$A$2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'アンケート地域'!$B$2:$J$2</c:f>
              <c:numCache/>
            </c:numRef>
          </c:val>
        </c:ser>
        <c:ser>
          <c:idx val="1"/>
          <c:order val="1"/>
          <c:tx>
            <c:strRef>
              <c:f>'アンケート地域'!$A$3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'アンケート地域'!$B$3:$J$3</c:f>
              <c:numCache/>
            </c:numRef>
          </c:val>
        </c:ser>
        <c:ser>
          <c:idx val="2"/>
          <c:order val="2"/>
          <c:tx>
            <c:strRef>
              <c:f>'アンケート地域'!$A$4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'アンケート地域'!$B$4:$J$4</c:f>
              <c:numCache/>
            </c:numRef>
          </c:val>
        </c:ser>
        <c:ser>
          <c:idx val="3"/>
          <c:order val="3"/>
          <c:tx>
            <c:strRef>
              <c:f>'アンケート地域'!$A$5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'アンケート地域'!$B$5:$J$5</c:f>
              <c:numCache/>
            </c:numRef>
          </c:val>
        </c:ser>
        <c:ser>
          <c:idx val="4"/>
          <c:order val="4"/>
          <c:tx>
            <c:strRef>
              <c:f>'アンケート地域'!$A$6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'アンケート地域'!$B$6:$J$6</c:f>
              <c:numCache/>
            </c:numRef>
          </c:val>
        </c:ser>
        <c:ser>
          <c:idx val="5"/>
          <c:order val="5"/>
          <c:tx>
            <c:strRef>
              <c:f>'アンケート地域'!$A$7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'アンケート地域'!$B$7:$J$7</c:f>
              <c:numCache/>
            </c:numRef>
          </c:val>
        </c:ser>
        <c:ser>
          <c:idx val="6"/>
          <c:order val="6"/>
          <c:tx>
            <c:strRef>
              <c:f>'アンケート地域'!$A$8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'アンケート地域'!$B$8:$J$8</c:f>
              <c:numCache/>
            </c:numRef>
          </c:val>
        </c:ser>
        <c:ser>
          <c:idx val="7"/>
          <c:order val="7"/>
          <c:tx>
            <c:strRef>
              <c:f>'アンケート地域'!$A$9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'アンケート地域'!$B$9:$J$9</c:f>
              <c:numCache/>
            </c:numRef>
          </c:val>
        </c:ser>
        <c:ser>
          <c:idx val="8"/>
          <c:order val="8"/>
          <c:tx>
            <c:strRef>
              <c:f>'アンケート地域'!$A$10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'アンケート地域'!$B$10:$J$10</c:f>
              <c:numCache/>
            </c:numRef>
          </c:val>
        </c:ser>
        <c:ser>
          <c:idx val="9"/>
          <c:order val="9"/>
          <c:tx>
            <c:strRef>
              <c:f>'アンケート地域'!$A$11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'アンケート地域'!$B$11:$J$11</c:f>
              <c:numCache/>
            </c:numRef>
          </c:val>
        </c:ser>
        <c:ser>
          <c:idx val="10"/>
          <c:order val="10"/>
          <c:tx>
            <c:strRef>
              <c:f>'アンケート地域'!$A$12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'アンケート地域'!$B$12:$J$12</c:f>
              <c:numCache/>
            </c:numRef>
          </c:val>
        </c:ser>
        <c:ser>
          <c:idx val="11"/>
          <c:order val="11"/>
          <c:tx>
            <c:strRef>
              <c:f>'アンケート地域'!$A$13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'アンケート地域'!$B$13:$J$13</c:f>
              <c:numCache/>
            </c:numRef>
          </c:val>
        </c:ser>
        <c:ser>
          <c:idx val="12"/>
          <c:order val="12"/>
          <c:tx>
            <c:strRef>
              <c:f>'アンケート地域'!$A$14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'アンケート地域'!$B$14:$J$14</c:f>
              <c:numCache/>
            </c:numRef>
          </c:val>
        </c:ser>
        <c:ser>
          <c:idx val="13"/>
          <c:order val="13"/>
          <c:tx>
            <c:strRef>
              <c:f>'アンケート地域'!$A$15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'アンケート地域'!$B$15:$J$15</c:f>
              <c:numCache/>
            </c:numRef>
          </c:val>
        </c:ser>
        <c:ser>
          <c:idx val="14"/>
          <c:order val="14"/>
          <c:tx>
            <c:strRef>
              <c:f>'アンケート地域'!$A$16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'アンケート地域'!$B$16:$J$16</c:f>
              <c:numCache/>
            </c:numRef>
          </c:val>
        </c:ser>
        <c:ser>
          <c:idx val="15"/>
          <c:order val="15"/>
          <c:tx>
            <c:strRef>
              <c:f>'アンケート地域'!$A$17</c:f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'アンケート地域'!$B$17:$J$17</c:f>
              <c:numCache/>
            </c:numRef>
          </c:val>
        </c:ser>
        <c:ser>
          <c:idx val="16"/>
          <c:order val="16"/>
          <c:tx>
            <c:strRef>
              <c:f>'アンケート地域'!$A$18</c:f>
            </c:strRef>
          </c:tx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'アンケート地域'!$B$18:$J$18</c:f>
              <c:numCache/>
            </c:numRef>
          </c:val>
        </c:ser>
        <c:ser>
          <c:idx val="17"/>
          <c:order val="17"/>
          <c:tx>
            <c:strRef>
              <c:f>'アンケート地域'!$A$19</c:f>
            </c:strRef>
          </c:tx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'アンケート地域'!$B$19:$J$19</c:f>
              <c:numCache/>
            </c:numRef>
          </c:val>
        </c:ser>
        <c:ser>
          <c:idx val="18"/>
          <c:order val="18"/>
          <c:tx>
            <c:strRef>
              <c:f>'アンケート地域'!$A$20</c:f>
            </c:strRef>
          </c:tx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'アンケート地域'!$B$20:$J$20</c:f>
              <c:numCache/>
            </c:numRef>
          </c:val>
        </c:ser>
        <c:ser>
          <c:idx val="19"/>
          <c:order val="19"/>
          <c:tx>
            <c:strRef>
              <c:f>'アンケート地域'!$A$21</c:f>
            </c:strRef>
          </c:tx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'アンケート地域'!$B$21:$J$21</c:f>
              <c:numCache/>
            </c:numRef>
          </c:val>
        </c:ser>
        <c:ser>
          <c:idx val="20"/>
          <c:order val="20"/>
          <c:tx>
            <c:strRef>
              <c:f>'アンケート地域'!$A$22</c:f>
            </c:strRef>
          </c:tx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'アンケート地域'!$B$1:$J$1</c:f>
            </c:strRef>
          </c:cat>
          <c:val>
            <c:numRef>
              <c:f>'アンケート地域'!$B$22:$J$22</c:f>
              <c:numCache/>
            </c:numRef>
          </c:val>
        </c:ser>
        <c:overlap val="100"/>
        <c:axId val="1706178667"/>
        <c:axId val="1154898107"/>
      </c:barChart>
      <c:catAx>
        <c:axId val="17061786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898107"/>
      </c:catAx>
      <c:valAx>
        <c:axId val="11548981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617866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東方プロジェクトを知った時期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'アンケート作品'!$A$2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'アンケート作品'!$B$2:$J$2</c:f>
              <c:numCache/>
            </c:numRef>
          </c:val>
        </c:ser>
        <c:ser>
          <c:idx val="1"/>
          <c:order val="1"/>
          <c:tx>
            <c:strRef>
              <c:f>'アンケート作品'!$A$3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'アンケート作品'!$B$3:$J$3</c:f>
              <c:numCache/>
            </c:numRef>
          </c:val>
        </c:ser>
        <c:ser>
          <c:idx val="2"/>
          <c:order val="2"/>
          <c:tx>
            <c:strRef>
              <c:f>'アンケート作品'!$A$4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'アンケート作品'!$B$4:$J$4</c:f>
              <c:numCache/>
            </c:numRef>
          </c:val>
        </c:ser>
        <c:ser>
          <c:idx val="3"/>
          <c:order val="3"/>
          <c:tx>
            <c:strRef>
              <c:f>'アンケート作品'!$A$5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'アンケート作品'!$B$5:$J$5</c:f>
              <c:numCache/>
            </c:numRef>
          </c:val>
        </c:ser>
        <c:ser>
          <c:idx val="4"/>
          <c:order val="4"/>
          <c:tx>
            <c:strRef>
              <c:f>'アンケート作品'!$A$6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'アンケート作品'!$B$6:$J$6</c:f>
              <c:numCache/>
            </c:numRef>
          </c:val>
        </c:ser>
        <c:ser>
          <c:idx val="5"/>
          <c:order val="5"/>
          <c:tx>
            <c:strRef>
              <c:f>'アンケート作品'!$A$7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'アンケート作品'!$B$7:$J$7</c:f>
              <c:numCache/>
            </c:numRef>
          </c:val>
        </c:ser>
        <c:ser>
          <c:idx val="6"/>
          <c:order val="6"/>
          <c:tx>
            <c:strRef>
              <c:f>'アンケート作品'!$A$8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'アンケート作品'!$B$8:$J$8</c:f>
              <c:numCache/>
            </c:numRef>
          </c:val>
        </c:ser>
        <c:ser>
          <c:idx val="7"/>
          <c:order val="7"/>
          <c:tx>
            <c:strRef>
              <c:f>'アンケート作品'!$A$9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'アンケート作品'!$B$9:$J$9</c:f>
              <c:numCache/>
            </c:numRef>
          </c:val>
        </c:ser>
        <c:ser>
          <c:idx val="8"/>
          <c:order val="8"/>
          <c:tx>
            <c:strRef>
              <c:f>'アンケート作品'!$A$10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'アンケート作品'!$B$10:$J$10</c:f>
              <c:numCache/>
            </c:numRef>
          </c:val>
        </c:ser>
        <c:ser>
          <c:idx val="9"/>
          <c:order val="9"/>
          <c:tx>
            <c:strRef>
              <c:f>'アンケート作品'!$A$11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'アンケート作品'!$B$11:$J$11</c:f>
              <c:numCache/>
            </c:numRef>
          </c:val>
        </c:ser>
        <c:ser>
          <c:idx val="10"/>
          <c:order val="10"/>
          <c:tx>
            <c:strRef>
              <c:f>'アンケート作品'!$A$12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'アンケート作品'!$B$12:$J$12</c:f>
              <c:numCache/>
            </c:numRef>
          </c:val>
        </c:ser>
        <c:ser>
          <c:idx val="11"/>
          <c:order val="11"/>
          <c:tx>
            <c:strRef>
              <c:f>'アンケート作品'!$A$13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'アンケート作品'!$B$13:$J$13</c:f>
              <c:numCache/>
            </c:numRef>
          </c:val>
        </c:ser>
        <c:ser>
          <c:idx val="12"/>
          <c:order val="12"/>
          <c:tx>
            <c:strRef>
              <c:f>'アンケート作品'!$A$14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'アンケート作品'!$B$14:$J$14</c:f>
              <c:numCache/>
            </c:numRef>
          </c:val>
        </c:ser>
        <c:ser>
          <c:idx val="13"/>
          <c:order val="13"/>
          <c:tx>
            <c:strRef>
              <c:f>'アンケート作品'!$A$15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'アンケート作品'!$B$15:$J$15</c:f>
              <c:numCache/>
            </c:numRef>
          </c:val>
        </c:ser>
        <c:ser>
          <c:idx val="14"/>
          <c:order val="14"/>
          <c:tx>
            <c:strRef>
              <c:f>'アンケート作品'!$A$16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'アンケート作品'!$B$16:$J$16</c:f>
              <c:numCache/>
            </c:numRef>
          </c:val>
        </c:ser>
        <c:ser>
          <c:idx val="15"/>
          <c:order val="15"/>
          <c:tx>
            <c:strRef>
              <c:f>'アンケート作品'!$A$17</c:f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'アンケート作品'!$B$17:$J$17</c:f>
              <c:numCache/>
            </c:numRef>
          </c:val>
        </c:ser>
        <c:ser>
          <c:idx val="16"/>
          <c:order val="16"/>
          <c:tx>
            <c:strRef>
              <c:f>'アンケート作品'!$A$18</c:f>
            </c:strRef>
          </c:tx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'アンケート作品'!$B$18:$J$18</c:f>
              <c:numCache/>
            </c:numRef>
          </c:val>
        </c:ser>
        <c:ser>
          <c:idx val="17"/>
          <c:order val="17"/>
          <c:tx>
            <c:strRef>
              <c:f>'アンケート作品'!$A$19</c:f>
            </c:strRef>
          </c:tx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'アンケート作品'!$B$19:$J$19</c:f>
              <c:numCache/>
            </c:numRef>
          </c:val>
        </c:ser>
        <c:ser>
          <c:idx val="18"/>
          <c:order val="18"/>
          <c:tx>
            <c:strRef>
              <c:f>'アンケート作品'!$A$20</c:f>
            </c:strRef>
          </c:tx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'アンケート作品'!$B$20:$J$20</c:f>
              <c:numCache/>
            </c:numRef>
          </c:val>
        </c:ser>
        <c:ser>
          <c:idx val="19"/>
          <c:order val="19"/>
          <c:tx>
            <c:strRef>
              <c:f>'アンケート作品'!$A$21</c:f>
            </c:strRef>
          </c:tx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'アンケート作品'!$B$21:$J$21</c:f>
              <c:numCache/>
            </c:numRef>
          </c:val>
        </c:ser>
        <c:ser>
          <c:idx val="20"/>
          <c:order val="20"/>
          <c:tx>
            <c:strRef>
              <c:f>'アンケート作品'!$A$22</c:f>
            </c:strRef>
          </c:tx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'アンケート作品'!$B$22:$J$22</c:f>
              <c:numCache/>
            </c:numRef>
          </c:val>
        </c:ser>
        <c:ser>
          <c:idx val="21"/>
          <c:order val="21"/>
          <c:tx>
            <c:strRef>
              <c:f>'アンケート作品'!$A$23</c:f>
            </c:strRef>
          </c:tx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'アンケート作品'!$B$1:$J$1</c:f>
            </c:strRef>
          </c:cat>
          <c:val>
            <c:numRef>
              <c:f>'アンケート作品'!$B$23:$J$23</c:f>
              <c:numCache/>
            </c:numRef>
          </c:val>
        </c:ser>
        <c:overlap val="100"/>
        <c:axId val="459670944"/>
        <c:axId val="637787100"/>
      </c:barChart>
      <c:catAx>
        <c:axId val="4596709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投票回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7787100"/>
      </c:catAx>
      <c:valAx>
        <c:axId val="6377871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アンケート回答人数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967094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東方プロジェクトを知った時期(割合)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'アンケート作品'!$A$28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'アンケート作品'!$B$28:$J$28</c:f>
              <c:numCache/>
            </c:numRef>
          </c:val>
        </c:ser>
        <c:ser>
          <c:idx val="1"/>
          <c:order val="1"/>
          <c:tx>
            <c:strRef>
              <c:f>'アンケート作品'!$A$29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'アンケート作品'!$B$29:$J$29</c:f>
              <c:numCache/>
            </c:numRef>
          </c:val>
        </c:ser>
        <c:ser>
          <c:idx val="2"/>
          <c:order val="2"/>
          <c:tx>
            <c:strRef>
              <c:f>'アンケート作品'!$A$30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'アンケート作品'!$B$30:$J$30</c:f>
              <c:numCache/>
            </c:numRef>
          </c:val>
        </c:ser>
        <c:ser>
          <c:idx val="3"/>
          <c:order val="3"/>
          <c:tx>
            <c:strRef>
              <c:f>'アンケート作品'!$A$31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'アンケート作品'!$B$31:$J$31</c:f>
              <c:numCache/>
            </c:numRef>
          </c:val>
        </c:ser>
        <c:ser>
          <c:idx val="4"/>
          <c:order val="4"/>
          <c:tx>
            <c:strRef>
              <c:f>'アンケート作品'!$A$32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'アンケート作品'!$B$32:$J$32</c:f>
              <c:numCache/>
            </c:numRef>
          </c:val>
        </c:ser>
        <c:ser>
          <c:idx val="5"/>
          <c:order val="5"/>
          <c:tx>
            <c:strRef>
              <c:f>'アンケート作品'!$A$33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'アンケート作品'!$B$33:$J$33</c:f>
              <c:numCache/>
            </c:numRef>
          </c:val>
        </c:ser>
        <c:ser>
          <c:idx val="6"/>
          <c:order val="6"/>
          <c:tx>
            <c:strRef>
              <c:f>'アンケート作品'!$A$34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'アンケート作品'!$B$34:$J$34</c:f>
              <c:numCache/>
            </c:numRef>
          </c:val>
        </c:ser>
        <c:ser>
          <c:idx val="7"/>
          <c:order val="7"/>
          <c:tx>
            <c:strRef>
              <c:f>'アンケート作品'!$A$35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'アンケート作品'!$B$35:$J$35</c:f>
              <c:numCache/>
            </c:numRef>
          </c:val>
        </c:ser>
        <c:ser>
          <c:idx val="8"/>
          <c:order val="8"/>
          <c:tx>
            <c:strRef>
              <c:f>'アンケート作品'!$A$36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'アンケート作品'!$B$36:$J$36</c:f>
              <c:numCache/>
            </c:numRef>
          </c:val>
        </c:ser>
        <c:ser>
          <c:idx val="9"/>
          <c:order val="9"/>
          <c:tx>
            <c:strRef>
              <c:f>'アンケート作品'!$A$37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'アンケート作品'!$B$37:$J$37</c:f>
              <c:numCache/>
            </c:numRef>
          </c:val>
        </c:ser>
        <c:ser>
          <c:idx val="10"/>
          <c:order val="10"/>
          <c:tx>
            <c:strRef>
              <c:f>'アンケート作品'!$A$38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'アンケート作品'!$B$38:$J$38</c:f>
              <c:numCache/>
            </c:numRef>
          </c:val>
        </c:ser>
        <c:ser>
          <c:idx val="11"/>
          <c:order val="11"/>
          <c:tx>
            <c:strRef>
              <c:f>'アンケート作品'!$A$39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'アンケート作品'!$B$39:$J$39</c:f>
              <c:numCache/>
            </c:numRef>
          </c:val>
        </c:ser>
        <c:ser>
          <c:idx val="12"/>
          <c:order val="12"/>
          <c:tx>
            <c:strRef>
              <c:f>'アンケート作品'!$A$40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'アンケート作品'!$B$40:$J$40</c:f>
              <c:numCache/>
            </c:numRef>
          </c:val>
        </c:ser>
        <c:ser>
          <c:idx val="13"/>
          <c:order val="13"/>
          <c:tx>
            <c:strRef>
              <c:f>'アンケート作品'!$A$41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'アンケート作品'!$B$41:$J$41</c:f>
              <c:numCache/>
            </c:numRef>
          </c:val>
        </c:ser>
        <c:ser>
          <c:idx val="14"/>
          <c:order val="14"/>
          <c:tx>
            <c:strRef>
              <c:f>'アンケート作品'!$A$42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'アンケート作品'!$B$42:$J$42</c:f>
              <c:numCache/>
            </c:numRef>
          </c:val>
        </c:ser>
        <c:ser>
          <c:idx val="15"/>
          <c:order val="15"/>
          <c:tx>
            <c:strRef>
              <c:f>'アンケート作品'!$A$43</c:f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'アンケート作品'!$B$43:$J$43</c:f>
              <c:numCache/>
            </c:numRef>
          </c:val>
        </c:ser>
        <c:ser>
          <c:idx val="16"/>
          <c:order val="16"/>
          <c:tx>
            <c:strRef>
              <c:f>'アンケート作品'!$A$44</c:f>
            </c:strRef>
          </c:tx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'アンケート作品'!$B$44:$J$44</c:f>
              <c:numCache/>
            </c:numRef>
          </c:val>
        </c:ser>
        <c:ser>
          <c:idx val="17"/>
          <c:order val="17"/>
          <c:tx>
            <c:strRef>
              <c:f>'アンケート作品'!$A$45</c:f>
            </c:strRef>
          </c:tx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'アンケート作品'!$B$45:$J$45</c:f>
              <c:numCache/>
            </c:numRef>
          </c:val>
        </c:ser>
        <c:ser>
          <c:idx val="18"/>
          <c:order val="18"/>
          <c:tx>
            <c:strRef>
              <c:f>'アンケート作品'!$A$46</c:f>
            </c:strRef>
          </c:tx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'アンケート作品'!$B$46:$J$46</c:f>
              <c:numCache/>
            </c:numRef>
          </c:val>
        </c:ser>
        <c:ser>
          <c:idx val="19"/>
          <c:order val="19"/>
          <c:tx>
            <c:strRef>
              <c:f>'アンケート作品'!$A$47</c:f>
            </c:strRef>
          </c:tx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'アンケート作品'!$B$47:$J$47</c:f>
              <c:numCache/>
            </c:numRef>
          </c:val>
        </c:ser>
        <c:ser>
          <c:idx val="20"/>
          <c:order val="20"/>
          <c:tx>
            <c:strRef>
              <c:f>'アンケート作品'!$A$48</c:f>
            </c:strRef>
          </c:tx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'アンケート作品'!$B$48:$J$48</c:f>
              <c:numCache/>
            </c:numRef>
          </c:val>
        </c:ser>
        <c:ser>
          <c:idx val="21"/>
          <c:order val="21"/>
          <c:tx>
            <c:strRef>
              <c:f>'アンケート作品'!$A$49</c:f>
            </c:strRef>
          </c:tx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'アンケート作品'!$B$27:$J$27</c:f>
            </c:strRef>
          </c:cat>
          <c:val>
            <c:numRef>
              <c:f>'アンケート作品'!$B$49:$J$49</c:f>
              <c:numCache/>
            </c:numRef>
          </c:val>
        </c:ser>
        <c:overlap val="100"/>
        <c:axId val="983197501"/>
        <c:axId val="174571831"/>
      </c:barChart>
      <c:catAx>
        <c:axId val="9831975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投票回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71831"/>
      </c:catAx>
      <c:valAx>
        <c:axId val="1745718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割合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31975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438150</xdr:colOff>
      <xdr:row>12</xdr:row>
      <xdr:rowOff>0</xdr:rowOff>
    </xdr:from>
    <xdr:ext cx="5715000" cy="3533775"/>
    <xdr:pic>
      <xdr:nvPicPr>
        <xdr:cNvPr id="37438107" name="Chart1" title="グラフ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295275</xdr:colOff>
      <xdr:row>41</xdr:row>
      <xdr:rowOff>47625</xdr:rowOff>
    </xdr:from>
    <xdr:ext cx="4838700" cy="3533775"/>
    <xdr:graphicFrame>
      <xdr:nvGraphicFramePr>
        <xdr:cNvPr id="2" name="Chart 2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866775</xdr:colOff>
      <xdr:row>6</xdr:row>
      <xdr:rowOff>19050</xdr:rowOff>
    </xdr:from>
    <xdr:ext cx="7772400" cy="4895850"/>
    <xdr:graphicFrame>
      <xdr:nvGraphicFramePr>
        <xdr:cNvPr id="3" name="Chart 3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609600</xdr:colOff>
      <xdr:row>43</xdr:row>
      <xdr:rowOff>133350</xdr:rowOff>
    </xdr:from>
    <xdr:ext cx="9953625" cy="5772150"/>
    <xdr:graphicFrame>
      <xdr:nvGraphicFramePr>
        <xdr:cNvPr id="4" name="Chart 4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50</xdr:row>
      <xdr:rowOff>0</xdr:rowOff>
    </xdr:from>
    <xdr:ext cx="9563100" cy="5467350"/>
    <xdr:graphicFrame>
      <xdr:nvGraphicFramePr>
        <xdr:cNvPr id="5" name="Chart 5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1:G32" displayName="表_1" name="表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作品サブタイトル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ja.wikipedia.org/wiki/%E7%A7%98%E5%B0%81%E3%83%8A%E3%82%A4%E3%83%88%E3%83%A1%E3%82%A2%E3%83%80%E3%82%A4%E3%82%A2%E3%83%AA%E3%83%BC_%E3%80%9C_Violet_Detector." TargetMode="External"/><Relationship Id="rId10" Type="http://schemas.openxmlformats.org/officeDocument/2006/relationships/hyperlink" Target="https://ja.wikipedia.org/wiki/%E6%9D%B1%E6%96%B9%E6%86%91%E4%BE%9D%E8%8F%AF_%E3%80%9C_Antinomy_of_Common_Flowers." TargetMode="External"/><Relationship Id="rId13" Type="http://schemas.openxmlformats.org/officeDocument/2006/relationships/hyperlink" Target="https://ja.wikipedia.org/wiki/%E6%9D%B1%E6%96%B9%E8%99%B9%E9%BE%8D%E6%B4%9E_%E3%80%9C_Unconnected_Marketeers." TargetMode="External"/><Relationship Id="rId12" Type="http://schemas.openxmlformats.org/officeDocument/2006/relationships/hyperlink" Target="https://ja.wikipedia.org/wiki/%E6%9D%B1%E6%96%B9%E9%AC%BC%E5%BD%A2%E7%8D%A3_%E3%80%9C_Wily_Beast_and_Weakest_Creature." TargetMode="External"/><Relationship Id="rId1" Type="http://schemas.openxmlformats.org/officeDocument/2006/relationships/hyperlink" Target="http://thwiki.info/?%BD%D0%B1%E9%A5%EA%A5%B9%A5%C8" TargetMode="External"/><Relationship Id="rId2" Type="http://schemas.openxmlformats.org/officeDocument/2006/relationships/hyperlink" Target="https://ja.wikipedia.org/wiki/%E6%9D%B1%E6%96%B9%E5%A4%A9%E7%A9%BA%E7%92%8B_%E3%80%9C_Hidden_Star_in_Four_Seasons." TargetMode="External"/><Relationship Id="rId3" Type="http://schemas.openxmlformats.org/officeDocument/2006/relationships/hyperlink" Target="https://ja.wikipedia.org/wiki/%E6%9D%B1%E6%96%B9%E6%86%91%E4%BE%9D%E8%8F%AF_%E3%80%9C_Antinomy_of_Common_Flowers." TargetMode="External"/><Relationship Id="rId4" Type="http://schemas.openxmlformats.org/officeDocument/2006/relationships/hyperlink" Target="https://ja.wikipedia.org/wiki/%E7%A7%98%E5%B0%81%E3%83%8A%E3%82%A4%E3%83%88%E3%83%A1%E3%82%A2%E3%83%80%E3%82%A4%E3%82%A2%E3%83%AA%E3%83%BC_%E3%80%9C_Violet_Detector." TargetMode="External"/><Relationship Id="rId9" Type="http://schemas.openxmlformats.org/officeDocument/2006/relationships/hyperlink" Target="https://ja.wikipedia.org/wiki/%E6%9D%B1%E6%96%B9%E5%A4%A9%E7%A9%BA%E7%92%8B_%E3%80%9C_Hidden_Star_in_Four_Seasons." TargetMode="External"/><Relationship Id="rId15" Type="http://schemas.openxmlformats.org/officeDocument/2006/relationships/hyperlink" Target="https://ja.wikipedia.org/wiki/%E3%83%90%E3%83%AC%E3%83%83%E3%83%88%E3%83%95%E3%82%A3%E3%83%AA%E3%82%A2%E9%81%94%E3%81%AE%E9%97%87%E5%B8%82%E5%A0%B4_%E3%80%9C_100th_Black_Market." TargetMode="External"/><Relationship Id="rId14" Type="http://schemas.openxmlformats.org/officeDocument/2006/relationships/hyperlink" Target="https://ja.wikipedia.org/wiki/%E6%9D%B1%E6%96%B9%E5%89%9B%E6%AC%B2%E7%95%B0%E8%81%9E_%E3%80%9C_%E6%B0%B4%E6%B2%A1%E3%81%97%E3%81%9F%E6%B2%88%E6%84%81%E5%9C%B0%E7%8D%84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ja.wikipedia.org/wiki/%E6%9D%B1%E6%96%B9%E9%AC%BC%E5%BD%A2%E7%8D%A3_%E3%80%9C_Wily_Beast_and_Weakest_Creature." TargetMode="External"/><Relationship Id="rId6" Type="http://schemas.openxmlformats.org/officeDocument/2006/relationships/hyperlink" Target="https://ja.wikipedia.org/wiki/%E6%9D%B1%E6%96%B9%E8%99%B9%E9%BE%8D%E6%B4%9E_%E3%80%9C_Unconnected_Marketeers." TargetMode="External"/><Relationship Id="rId7" Type="http://schemas.openxmlformats.org/officeDocument/2006/relationships/hyperlink" Target="https://ja.wikipedia.org/wiki/%E6%9D%B1%E6%96%B9%E5%89%9B%E6%AC%B2%E7%95%B0%E8%81%9E_%E3%80%9C_%E6%B0%B4%E6%B2%A1%E3%81%97%E3%81%9F%E6%B2%88%E6%84%81%E5%9C%B0%E7%8D%84" TargetMode="External"/><Relationship Id="rId8" Type="http://schemas.openxmlformats.org/officeDocument/2006/relationships/hyperlink" Target="https://ja.wikipedia.org/wiki/%E3%83%90%E3%83%AC%E3%83%83%E3%83%88%E3%83%95%E3%82%A3%E3%83%AA%E3%82%A2%E9%81%94%E3%81%AE%E9%97%87%E5%B8%82%E5%A0%B4_%E3%80%9C_100th_Black_Market.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table" Target="../tables/table1.xml"/><Relationship Id="rId1" Type="http://schemas.openxmlformats.org/officeDocument/2006/relationships/hyperlink" Target="https://ja.wikipedia.org/wiki/%E6%9D%B1%E6%96%B9%E5%A4%A9%E7%A9%BA%E7%92%8B_%E3%80%9C_Hidden_Star_in_Four_Seasons." TargetMode="External"/><Relationship Id="rId2" Type="http://schemas.openxmlformats.org/officeDocument/2006/relationships/hyperlink" Target="https://ja.wikipedia.org/wiki/%E6%9D%B1%E6%96%B9%E6%86%91%E4%BE%9D%E8%8F%AF_%E3%80%9C_Antinomy_of_Common_Flowers." TargetMode="External"/><Relationship Id="rId3" Type="http://schemas.openxmlformats.org/officeDocument/2006/relationships/hyperlink" Target="https://ja.wikipedia.org/wiki/%E7%A7%98%E5%B0%81%E3%83%8A%E3%82%A4%E3%83%88%E3%83%A1%E3%82%A2%E3%83%80%E3%82%A4%E3%82%A2%E3%83%AA%E3%83%BC_%E3%80%9C_Violet_Detector." TargetMode="External"/><Relationship Id="rId4" Type="http://schemas.openxmlformats.org/officeDocument/2006/relationships/hyperlink" Target="https://ja.wikipedia.org/wiki/%E6%9D%B1%E6%96%B9%E9%AC%BC%E5%BD%A2%E7%8D%A3_%E3%80%9C_Wily_Beast_and_Weakest_Creature." TargetMode="External"/><Relationship Id="rId5" Type="http://schemas.openxmlformats.org/officeDocument/2006/relationships/hyperlink" Target="https://ja.wikipedia.org/wiki/%E6%9D%B1%E6%96%B9%E8%99%B9%E9%BE%8D%E6%B4%9E_%E3%80%9C_Unconnected_Marketeers." TargetMode="External"/><Relationship Id="rId6" Type="http://schemas.openxmlformats.org/officeDocument/2006/relationships/hyperlink" Target="https://ja.wikipedia.org/wiki/%E6%9D%B1%E6%96%B9%E5%89%9B%E6%AC%B2%E7%95%B0%E8%81%9E_%E3%80%9C_%E6%B0%B4%E6%B2%A1%E3%81%97%E3%81%9F%E6%B2%88%E6%84%81%E5%9C%B0%E7%8D%84" TargetMode="External"/><Relationship Id="rId7" Type="http://schemas.openxmlformats.org/officeDocument/2006/relationships/hyperlink" Target="https://ja.wikipedia.org/wiki/%E3%83%90%E3%83%AC%E3%83%83%E3%83%88%E3%83%95%E3%82%A3%E3%83%AA%E3%82%A2%E9%81%94%E3%81%AE%E9%97%87%E5%B8%82%E5%A0%B4_%E3%80%9C_100th_Black_Market.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ja.wikipedia.org/wiki/%E6%9D%B1%E6%96%B9%E5%A4%A9%E7%A9%BA%E7%92%8B_%E3%80%9C_Hidden_Star_in_Four_Seasons." TargetMode="External"/><Relationship Id="rId2" Type="http://schemas.openxmlformats.org/officeDocument/2006/relationships/hyperlink" Target="https://ja.wikipedia.org/wiki/%E6%9D%B1%E6%96%B9%E6%86%91%E4%BE%9D%E8%8F%AF_%E3%80%9C_Antinomy_of_Common_Flowers." TargetMode="External"/><Relationship Id="rId3" Type="http://schemas.openxmlformats.org/officeDocument/2006/relationships/hyperlink" Target="https://ja.wikipedia.org/wiki/%E7%A7%98%E5%B0%81%E3%83%8A%E3%82%A4%E3%83%88%E3%83%A1%E3%82%A2%E3%83%80%E3%82%A4%E3%82%A2%E3%83%AA%E3%83%BC_%E3%80%9C_Violet_Detector." TargetMode="External"/><Relationship Id="rId4" Type="http://schemas.openxmlformats.org/officeDocument/2006/relationships/hyperlink" Target="https://ja.wikipedia.org/wiki/%E6%9D%B1%E6%96%B9%E9%AC%BC%E5%BD%A2%E7%8D%A3_%E3%80%9C_Wily_Beast_and_Weakest_Creature." TargetMode="External"/><Relationship Id="rId5" Type="http://schemas.openxmlformats.org/officeDocument/2006/relationships/hyperlink" Target="https://ja.wikipedia.org/wiki/%E6%9D%B1%E6%96%B9%E8%99%B9%E9%BE%8D%E6%B4%9E_%E3%80%9C_Unconnected_Marketeers." TargetMode="External"/><Relationship Id="rId6" Type="http://schemas.openxmlformats.org/officeDocument/2006/relationships/hyperlink" Target="https://ja.wikipedia.org/wiki/%E6%9D%B1%E6%96%B9%E5%89%9B%E6%AC%B2%E7%95%B0%E8%81%9E_%E3%80%9C_%E6%B0%B4%E6%B2%A1%E3%81%97%E3%81%9F%E6%B2%88%E6%84%81%E5%9C%B0%E7%8D%84" TargetMode="External"/><Relationship Id="rId7" Type="http://schemas.openxmlformats.org/officeDocument/2006/relationships/hyperlink" Target="https://ja.wikipedia.org/wiki/%E3%83%90%E3%83%AC%E3%83%83%E3%83%88%E3%83%95%E3%82%A3%E3%83%AA%E3%82%A2%E9%81%94%E3%81%AE%E9%97%87%E5%B8%82%E5%A0%B4_%E3%80%9C_100th_Black_Market.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ja.wikipedia.org/wiki/%E6%9D%B1%E6%96%B9%E5%A4%A9%E7%A9%BA%E7%92%8B_%E3%80%9C_Hidden_Star_in_Four_Seasons." TargetMode="External"/><Relationship Id="rId2" Type="http://schemas.openxmlformats.org/officeDocument/2006/relationships/hyperlink" Target="https://ja.wikipedia.org/wiki/%E6%9D%B1%E6%96%B9%E9%AC%BC%E5%BD%A2%E7%8D%A3_%E3%80%9C_Wily_Beast_and_Weakest_Creature." TargetMode="External"/><Relationship Id="rId3" Type="http://schemas.openxmlformats.org/officeDocument/2006/relationships/hyperlink" Target="https://ja.wikipedia.org/wiki/%E6%9D%B1%E6%96%B9%E8%99%B9%E9%BE%8D%E6%B4%9E_%E3%80%9C_Unconnected_Marketeers.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ic.nicovideo.jp/a/%E5%AE%87%E4%BD%90%E8%A6%8B%E8%8F%AB%E5%AD%90" TargetMode="External"/><Relationship Id="rId42" Type="http://schemas.openxmlformats.org/officeDocument/2006/relationships/hyperlink" Target="https://dic.nicovideo.jp/a/%E9%88%B4%E4%BB%99%E3%83%BB%E5%84%AA%E6%9B%87%E8%8F%AF%E9%99%A2%E3%83%BB%E3%82%A4%E3%83%8A%E3%83%90" TargetMode="External"/><Relationship Id="rId41" Type="http://schemas.openxmlformats.org/officeDocument/2006/relationships/hyperlink" Target="https://dic.pixiv.net/a/%E3%83%89%E3%83%AC%E3%83%9F%E3%83%BC%E3%83%BB%E3%82%B9%E3%82%A4%E3%83%BC%E3%83%88" TargetMode="External"/><Relationship Id="rId44" Type="http://schemas.openxmlformats.org/officeDocument/2006/relationships/hyperlink" Target="https://dic.pixiv.net/a/%E3%83%98%E3%82%AB%E3%83%BC%E3%83%86%E3%82%A3%E3%82%A2%E3%83%BB%E3%83%A9%E3%83%94%E3%82%B9%E3%83%A9%E3%82%BA%E3%83%AA" TargetMode="External"/><Relationship Id="rId43" Type="http://schemas.openxmlformats.org/officeDocument/2006/relationships/hyperlink" Target="https://dic.nicovideo.jp/a/%E9%88%B4%E4%BB%99%E3%83%BB%E5%84%AA%E6%9B%87%E8%8F%AF%E9%99%A2%E3%83%BB%E3%82%A4%E3%83%8A%E3%83%90" TargetMode="External"/><Relationship Id="rId46" Type="http://schemas.openxmlformats.org/officeDocument/2006/relationships/hyperlink" Target="https://dic.pixiv.net/a/%E7%B4%94%E7%8B%90" TargetMode="External"/><Relationship Id="rId45" Type="http://schemas.openxmlformats.org/officeDocument/2006/relationships/hyperlink" Target="https://dic.nicovideo.jp/a/%E3%83%89%E3%83%AC%E3%83%9F%E3%83%BC%E3%83%BB%E3%82%B9%E3%82%A4%E3%83%BC%E3%83%88" TargetMode="External"/><Relationship Id="rId1" Type="http://schemas.openxmlformats.org/officeDocument/2006/relationships/hyperlink" Target="https://ja.wikipedia.org/wiki/%E6%9D%B1%E6%96%B9%E6%86%91%E4%BE%9D%E8%8F%AF_%E3%80%9C_Antinomy_of_Common_Flowers." TargetMode="External"/><Relationship Id="rId2" Type="http://schemas.openxmlformats.org/officeDocument/2006/relationships/hyperlink" Target="https://ja.wikipedia.org/wiki/%E7%A7%98%E5%B0%81%E3%83%8A%E3%82%A4%E3%83%88%E3%83%A1%E3%82%A2%E3%83%80%E3%82%A4%E3%82%A2%E3%83%AA%E3%83%BC_%E3%80%9C_Violet_Detector." TargetMode="External"/><Relationship Id="rId3" Type="http://schemas.openxmlformats.org/officeDocument/2006/relationships/hyperlink" Target="https://ja.wikipedia.org/wiki/%E6%9D%B1%E6%96%B9%E5%89%9B%E6%AC%B2%E7%95%B0%E8%81%9E_%E3%80%9C_%E6%B0%B4%E6%B2%A1%E3%81%97%E3%81%9F%E6%B2%88%E6%84%81%E5%9C%B0%E7%8D%84" TargetMode="External"/><Relationship Id="rId4" Type="http://schemas.openxmlformats.org/officeDocument/2006/relationships/hyperlink" Target="https://ja.wikipedia.org/wiki/%E3%83%90%E3%83%AC%E3%83%83%E3%83%88%E3%83%95%E3%82%A3%E3%83%AA%E3%82%A2%E9%81%94%E3%81%AE%E9%97%87%E5%B8%82%E5%A0%B4_%E3%80%9C_100th_Black_Market." TargetMode="External"/><Relationship Id="rId9" Type="http://schemas.openxmlformats.org/officeDocument/2006/relationships/hyperlink" Target="https://dic.nicovideo.jp/a/%E9%9B%B2%E5%B1%85%E4%B8%80%E8%BC%AA" TargetMode="External"/><Relationship Id="rId48" Type="http://schemas.openxmlformats.org/officeDocument/2006/relationships/hyperlink" Target="https://dic.pixiv.net/a/%E6%91%A9%E5%A4%9A%E7%BE%85%E9%9A%A0%E5%B2%90%E5%A5%88" TargetMode="External"/><Relationship Id="rId47" Type="http://schemas.openxmlformats.org/officeDocument/2006/relationships/hyperlink" Target="https://dic.nicovideo.jp/a/%E6%AF%94%E9%82%A3%E5%90%8D%E5%B1%85%E5%A4%A9%E5%AD%90" TargetMode="External"/><Relationship Id="rId49" Type="http://schemas.openxmlformats.org/officeDocument/2006/relationships/hyperlink" Target="https://dic.nicovideo.jp/a/%E5%85%AB%E9%9B%B2%E7%B4%AB" TargetMode="External"/><Relationship Id="rId5" Type="http://schemas.openxmlformats.org/officeDocument/2006/relationships/hyperlink" Target="https://dic.nicovideo.jp/a/%E5%8D%9A%E9%BA%97%E9%9C%8A%E5%A4%A2" TargetMode="External"/><Relationship Id="rId6" Type="http://schemas.openxmlformats.org/officeDocument/2006/relationships/hyperlink" Target="https://dic.nicovideo.jp/a/%E5%8D%9A%E9%BA%97%E9%9C%8A%E5%A4%A2" TargetMode="External"/><Relationship Id="rId7" Type="http://schemas.openxmlformats.org/officeDocument/2006/relationships/hyperlink" Target="https://dic.nicovideo.jp/a/%E9%9C%A7%E9%9B%A8%E9%AD%94%E7%90%86%E6%B2%99" TargetMode="External"/><Relationship Id="rId8" Type="http://schemas.openxmlformats.org/officeDocument/2006/relationships/hyperlink" Target="https://dic.nicovideo.jp/a/%E9%9C%A7%E9%9B%A8%E9%AD%94%E7%90%86%E6%B2%99" TargetMode="External"/><Relationship Id="rId31" Type="http://schemas.openxmlformats.org/officeDocument/2006/relationships/hyperlink" Target="https://dic.pixiv.net/a/%E3%82%AF%E3%83%A9%E3%82%A6%E3%83%B3%E3%83%94%E3%83%BC%E3%82%B9" TargetMode="External"/><Relationship Id="rId30" Type="http://schemas.openxmlformats.org/officeDocument/2006/relationships/hyperlink" Target="https://dic.nicovideo.jp/a/%E7%A7%A6%E3%81%93%E3%81%93%E3%82%8D" TargetMode="External"/><Relationship Id="rId33" Type="http://schemas.openxmlformats.org/officeDocument/2006/relationships/hyperlink" Target="https://dic.nicovideo.jp/a/%E8%8C%A8%E6%9C%A8%E8%8F%AF%E6%89%87" TargetMode="External"/><Relationship Id="rId32" Type="http://schemas.openxmlformats.org/officeDocument/2006/relationships/hyperlink" Target="https://dic.nicovideo.jp/a/%E8%8C%A8%E6%9C%A8%E8%8F%AF%E6%89%87" TargetMode="External"/><Relationship Id="rId35" Type="http://schemas.openxmlformats.org/officeDocument/2006/relationships/hyperlink" Target="https://dic.nicovideo.jp/a/%E8%97%A4%E5%8E%9F%E5%A6%B9%E7%B4%85" TargetMode="External"/><Relationship Id="rId34" Type="http://schemas.openxmlformats.org/officeDocument/2006/relationships/hyperlink" Target="https://dic.pixiv.net/a/%E7%A8%80%E7%A5%9E%E3%82%B5%E3%82%B0%E3%83%A1" TargetMode="External"/><Relationship Id="rId37" Type="http://schemas.openxmlformats.org/officeDocument/2006/relationships/hyperlink" Target="https://dic.nicovideo.jp/a/%E5%B0%91%E5%90%8D%E9%87%9D%E5%A6%99%E4%B8%B8" TargetMode="External"/><Relationship Id="rId36" Type="http://schemas.openxmlformats.org/officeDocument/2006/relationships/hyperlink" Target="https://dic.nicovideo.jp/a/%E8%97%A4%E5%8E%9F%E5%A6%B9%E7%B4%85" TargetMode="External"/><Relationship Id="rId39" Type="http://schemas.openxmlformats.org/officeDocument/2006/relationships/hyperlink" Target="https://dic.nicovideo.jp/a/%E5%AE%87%E4%BD%90%E8%A6%8B%E8%8F%AB%E5%AD%90" TargetMode="External"/><Relationship Id="rId38" Type="http://schemas.openxmlformats.org/officeDocument/2006/relationships/hyperlink" Target="https://dic.nicovideo.jp/a/%E5%B0%91%E5%90%8D%E9%87%9D%E5%A6%99%E4%B8%B8" TargetMode="External"/><Relationship Id="rId20" Type="http://schemas.openxmlformats.org/officeDocument/2006/relationships/hyperlink" Target="https://dic.nicovideo.jp/a/%E6%B2%B3%E5%9F%8E%E3%81%AB%E3%81%A8%E3%82%8A" TargetMode="External"/><Relationship Id="rId22" Type="http://schemas.openxmlformats.org/officeDocument/2006/relationships/hyperlink" Target="https://dic.nicovideo.jp/a/%E4%BE%9D%E7%A5%9E%E7%B4%AB%E8%8B%91" TargetMode="External"/><Relationship Id="rId21" Type="http://schemas.openxmlformats.org/officeDocument/2006/relationships/hyperlink" Target="https://dic.nicovideo.jp/a/%E6%B2%B3%E5%9F%8E%E3%81%AB%E3%81%A8%E3%82%8A" TargetMode="External"/><Relationship Id="rId24" Type="http://schemas.openxmlformats.org/officeDocument/2006/relationships/hyperlink" Target="https://dic.nicovideo.jp/a/%E5%8F%A4%E6%98%8E%E5%9C%B0%E3%81%93%E3%81%84%E3%81%97" TargetMode="External"/><Relationship Id="rId23" Type="http://schemas.openxmlformats.org/officeDocument/2006/relationships/hyperlink" Target="https://dic.nicovideo.jp/a/%E5%8F%A4%E6%98%8E%E5%9C%B0%E3%81%93%E3%81%84%E3%81%97" TargetMode="External"/><Relationship Id="rId60" Type="http://schemas.openxmlformats.org/officeDocument/2006/relationships/drawing" Target="../drawings/drawing7.xml"/><Relationship Id="rId26" Type="http://schemas.openxmlformats.org/officeDocument/2006/relationships/hyperlink" Target="https://dic.nicovideo.jp/a/%E4%BA%8C%E3%83%83%E5%B2%A9%E3%83%9E%E3%83%9F%E3%82%BE%E3%82%A6" TargetMode="External"/><Relationship Id="rId25" Type="http://schemas.openxmlformats.org/officeDocument/2006/relationships/hyperlink" Target="https://dic.pixiv.net/a/%E5%9D%82%E7%94%B0%E3%83%8D%E3%83%A0%E3%83%8E" TargetMode="External"/><Relationship Id="rId28" Type="http://schemas.openxmlformats.org/officeDocument/2006/relationships/hyperlink" Target="https://dic.pixiv.net/a/%E9%AB%98%E9%BA%97%E9%87%8E%E3%81%82%E3%81%86%E3%82%93" TargetMode="External"/><Relationship Id="rId27" Type="http://schemas.openxmlformats.org/officeDocument/2006/relationships/hyperlink" Target="https://dic.nicovideo.jp/a/%E4%BA%8C%E3%83%83%E5%B2%A9%E3%83%9E%E3%83%9F%E3%82%BE%E3%82%A6" TargetMode="External"/><Relationship Id="rId29" Type="http://schemas.openxmlformats.org/officeDocument/2006/relationships/hyperlink" Target="https://dic.nicovideo.jp/a/%E7%A7%A6%E3%81%93%E3%81%93%E3%82%8D" TargetMode="External"/><Relationship Id="rId51" Type="http://schemas.openxmlformats.org/officeDocument/2006/relationships/hyperlink" Target="https://dic.nicovideo.jp/a/%E4%BE%9D%E7%A5%9E%E5%A5%B3%E8%8B%91" TargetMode="External"/><Relationship Id="rId50" Type="http://schemas.openxmlformats.org/officeDocument/2006/relationships/hyperlink" Target="https://dic.pixiv.net/a/%E3%83%AC%E3%83%9F%E3%83%AA%E3%82%A2%E3%83%BB%E3%82%B9%E3%82%AB%E3%83%BC%E3%83%AC%E3%83%83%E3%83%88" TargetMode="External"/><Relationship Id="rId53" Type="http://schemas.openxmlformats.org/officeDocument/2006/relationships/hyperlink" Target="https://dic.pixiv.net/a/%E8%A5%BF%E8%A1%8C%E5%AF%BA%E5%B9%BD%E3%80%85%E5%AD%90" TargetMode="External"/><Relationship Id="rId52" Type="http://schemas.openxmlformats.org/officeDocument/2006/relationships/hyperlink" Target="https://dic.nicovideo.jp/a/%E4%BE%9D%E7%A5%9E%E7%B4%AB%E8%8B%91" TargetMode="External"/><Relationship Id="rId11" Type="http://schemas.openxmlformats.org/officeDocument/2006/relationships/hyperlink" Target="https://dic.pixiv.net/a/%E6%B8%85%E8%98%AD" TargetMode="External"/><Relationship Id="rId55" Type="http://schemas.openxmlformats.org/officeDocument/2006/relationships/hyperlink" Target="https://dic.pixiv.net/a/%E5%8F%A4%E6%98%8E%E5%9C%B0%E3%81%95%E3%81%A8%E3%82%8A" TargetMode="External"/><Relationship Id="rId10" Type="http://schemas.openxmlformats.org/officeDocument/2006/relationships/hyperlink" Target="https://dic.nicovideo.jp/a/%E9%9B%B2%E5%B1%85%E4%B8%80%E8%BC%AA" TargetMode="External"/><Relationship Id="rId54" Type="http://schemas.openxmlformats.org/officeDocument/2006/relationships/hyperlink" Target="https://dic.pixiv.net/a/%E5%85%AB%E6%84%8F%E6%B0%B8%E7%90%B3" TargetMode="External"/><Relationship Id="rId13" Type="http://schemas.openxmlformats.org/officeDocument/2006/relationships/hyperlink" Target="https://dic.nicovideo.jp/a/%E8%81%96%E7%99%BD%E8%93%AE" TargetMode="External"/><Relationship Id="rId57" Type="http://schemas.openxmlformats.org/officeDocument/2006/relationships/hyperlink" Target="https://dic.pixiv.net/a/%E4%BC%8A%E5%90%B9%E8%90%83%E9%A6%99" TargetMode="External"/><Relationship Id="rId12" Type="http://schemas.openxmlformats.org/officeDocument/2006/relationships/hyperlink" Target="https://dic.nicovideo.jp/a/%E8%81%96%E7%99%BD%E8%93%AE" TargetMode="External"/><Relationship Id="rId56" Type="http://schemas.openxmlformats.org/officeDocument/2006/relationships/hyperlink" Target="https://dic.pixiv.net/a/%E4%BA%8C%E3%83%83%E5%B2%A9%E3%83%9E%E3%83%9F%E3%82%BE%E3%82%A6" TargetMode="External"/><Relationship Id="rId15" Type="http://schemas.openxmlformats.org/officeDocument/2006/relationships/hyperlink" Target="https://dic.nicovideo.jp/a/%E7%89%A9%E9%83%A8%E5%B8%83%E9%83%BD" TargetMode="External"/><Relationship Id="rId59" Type="http://schemas.openxmlformats.org/officeDocument/2006/relationships/hyperlink" Target="https://dic.pixiv.net/a/%E3%83%89%E3%83%AC%E3%83%9F%E3%83%BC%E3%83%BB%E3%82%B9%E3%82%A4%E3%83%BC%E3%83%88" TargetMode="External"/><Relationship Id="rId14" Type="http://schemas.openxmlformats.org/officeDocument/2006/relationships/hyperlink" Target="https://dic.nicovideo.jp/a/%E7%89%A9%E9%83%A8%E5%B8%83%E9%83%BD" TargetMode="External"/><Relationship Id="rId58" Type="http://schemas.openxmlformats.org/officeDocument/2006/relationships/hyperlink" Target="https://dic.pixiv.net/a/%E6%91%A9%E5%A4%9A%E7%BE%85%E9%9A%A0%E5%B2%90%E5%A5%88" TargetMode="External"/><Relationship Id="rId17" Type="http://schemas.openxmlformats.org/officeDocument/2006/relationships/hyperlink" Target="https://dic.nicovideo.jp/a/%E8%B1%8A%E8%81%A1%E8%80%B3%E7%A5%9E%E5%AD%90" TargetMode="External"/><Relationship Id="rId16" Type="http://schemas.openxmlformats.org/officeDocument/2006/relationships/hyperlink" Target="https://dic.pixiv.net/a/%E3%82%A8%E3%82%BF%E3%83%8B%E3%83%86%E3%82%A3%E3%83%A9%E3%83%AB%E3%83%90" TargetMode="External"/><Relationship Id="rId19" Type="http://schemas.openxmlformats.org/officeDocument/2006/relationships/hyperlink" Target="https://dic.nicovideo.jp/a/%E4%BE%9D%E7%A5%9E%E5%A5%B3%E8%8B%91" TargetMode="External"/><Relationship Id="rId18" Type="http://schemas.openxmlformats.org/officeDocument/2006/relationships/hyperlink" Target="https://dic.nicovideo.jp/a/%E8%B1%8A%E8%81%A1%E8%80%B3%E7%A5%9E%E5%AD%90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ja.wikipedia.org/wiki/%E6%9D%B1%E6%96%B9%E5%A4%A9%E7%A9%BA%E7%92%8B_%E3%80%9C_Hidden_Star_in_Four_Seasons." TargetMode="External"/><Relationship Id="rId2" Type="http://schemas.openxmlformats.org/officeDocument/2006/relationships/hyperlink" Target="https://ja.wikipedia.org/wiki/%E6%9D%B1%E6%96%B9%E9%AC%BC%E5%BD%A2%E7%8D%A3_%E3%80%9C_Wily_Beast_and_Weakest_Creature." TargetMode="External"/><Relationship Id="rId3" Type="http://schemas.openxmlformats.org/officeDocument/2006/relationships/hyperlink" Target="https://ja.wikipedia.org/wiki/%E6%9D%B1%E6%96%B9%E8%99%B9%E9%BE%8D%E6%B4%9E_%E3%80%9C_Unconnected_Marketeers.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ja.wikipedia.org/wiki/%E6%9D%B1%E6%96%B9%E6%86%91%E4%BE%9D%E8%8F%AF_%E3%80%9C_Antinomy_of_Common_Flowers." TargetMode="External"/><Relationship Id="rId2" Type="http://schemas.openxmlformats.org/officeDocument/2006/relationships/hyperlink" Target="https://ja.wikipedia.org/wiki/%E7%A7%98%E5%B0%81%E3%83%8A%E3%82%A4%E3%83%88%E3%83%A1%E3%82%A2%E3%83%80%E3%82%A4%E3%82%A2%E3%83%AA%E3%83%BC_%E3%80%9C_Violet_Detector." TargetMode="External"/><Relationship Id="rId3" Type="http://schemas.openxmlformats.org/officeDocument/2006/relationships/hyperlink" Target="https://ja.wikipedia.org/wiki/%E6%9D%B1%E6%96%B9%E5%89%9B%E6%AC%B2%E7%95%B0%E8%81%9E_%E3%80%9C_%E6%B0%B4%E6%B2%A1%E3%81%97%E3%81%9F%E6%B2%88%E6%84%81%E5%9C%B0%E7%8D%84" TargetMode="External"/><Relationship Id="rId4" Type="http://schemas.openxmlformats.org/officeDocument/2006/relationships/hyperlink" Target="https://ja.wikipedia.org/wiki/%E3%83%90%E3%83%AC%E3%83%83%E3%83%88%E3%83%95%E3%82%A3%E3%83%AA%E3%82%A2%E9%81%94%E3%81%AE%E9%97%87%E5%B8%82%E5%A0%B4_%E3%80%9C_100th_Black_Market.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seesaawiki.jp/toho-motoneta_2nd/d/%a5%de%a5%c3%a5%b7%a5%e5%a5%eb%a1%bc%a5%e0%a1%a6%a5%ef%a5%eb%a5%c4" TargetMode="External"/><Relationship Id="rId42" Type="http://schemas.openxmlformats.org/officeDocument/2006/relationships/hyperlink" Target="https://seesaawiki.jp/toho-motoneta_2nd/d/%cb%a1%ce%cf%a4%ce%b2%bc%a4%ce%ca%bf%c5%f9" TargetMode="External"/><Relationship Id="rId41" Type="http://schemas.openxmlformats.org/officeDocument/2006/relationships/hyperlink" Target="https://seesaawiki.jp/toho-motoneta_2nd/d/%c0%bb%ed%d3%c1%a5%b6%f5%a4%f2%b1%fd%a4%af" TargetMode="External"/><Relationship Id="rId44" Type="http://schemas.openxmlformats.org/officeDocument/2006/relationships/hyperlink" Target="https://seesaawiki.jp/toho-motoneta_2nd/d/%b8%f7%a4%ea%b5%b1%a4%af%c5%b7%b5%e5%b5%b7" TargetMode="External"/><Relationship Id="rId43" Type="http://schemas.openxmlformats.org/officeDocument/2006/relationships/hyperlink" Target="https://seesaawiki.jp/toho-motoneta_2nd/d/%b9%b1%be%ef%c9%d4%ca%d1%a4%ce%bb%b2%c9%c0%e3%ab" TargetMode="External"/><Relationship Id="rId46" Type="http://schemas.openxmlformats.org/officeDocument/2006/relationships/hyperlink" Target="https://seesaawiki.jp/toho-motoneta_2nd/d/%c3%cf%c4%ec%a4%cb%ba%e9%a4%af%e9%ac%e9%af" TargetMode="External"/><Relationship Id="rId45" Type="http://schemas.openxmlformats.org/officeDocument/2006/relationships/hyperlink" Target="https://seesaawiki.jp/toho-motoneta_2nd/d/%c2%f4%a4%ce%b2%cf%c6%b8%a4%ce%b5%bb%bd%d1%ce%cf" TargetMode="External"/><Relationship Id="rId107" Type="http://schemas.openxmlformats.org/officeDocument/2006/relationships/hyperlink" Target="https://seesaawiki.jp/toho-motoneta_2nd/e/add?pagename=%b4%b1%c8%c4%b2%ab%ba%aa%bf%b7%ca%b9%3f" TargetMode="External"/><Relationship Id="rId106" Type="http://schemas.openxmlformats.org/officeDocument/2006/relationships/hyperlink" Target="https://seesaawiki.jp/toho-motoneta_2nd/e/add?pagename=%b6%c7%b1%c0%3f" TargetMode="External"/><Relationship Id="rId105" Type="http://schemas.openxmlformats.org/officeDocument/2006/relationships/hyperlink" Target="https://seesaawiki.jp/toho-motoneta_2nd/e/add?pagename=%cb%dc%c6%fc%a4%ce%b0%ec%cc%cc%b5%ad%bb%f6%3f" TargetMode="External"/><Relationship Id="rId104" Type="http://schemas.openxmlformats.org/officeDocument/2006/relationships/hyperlink" Target="https://seesaawiki.jp/toho-motoneta_2nd/e/add?pagename=%b1%af%bb%b0%a4%c4%bb%fe%a4%ce%ce%a4%3f" TargetMode="External"/><Relationship Id="rId109" Type="http://schemas.openxmlformats.org/officeDocument/2006/relationships/hyperlink" Target="https://seesaawiki.jp/toho-motoneta_2nd/e/add?pagename=%a5%e9%a5%b9%a5%c8%a5%ef%a1%bc%a5%c9%c8%af%c6%b0%3f" TargetMode="External"/><Relationship Id="rId108" Type="http://schemas.openxmlformats.org/officeDocument/2006/relationships/hyperlink" Target="https://seesaawiki.jp/toho-motoneta_2nd/e/add?pagename=%b1%e9%bc%d4%c1%aa%c2%f2%3f" TargetMode="External"/><Relationship Id="rId48" Type="http://schemas.openxmlformats.org/officeDocument/2006/relationships/hyperlink" Target="https://seesaawiki.jp/toho-motoneta_2nd/d/%bf%b4%e5%ba%cf%b0%b1%e9%c9%f1" TargetMode="External"/><Relationship Id="rId47" Type="http://schemas.openxmlformats.org/officeDocument/2006/relationships/hyperlink" Target="https://seesaawiki.jp/toho-motoneta_2nd/d/%bf%bc%ce%d0%a4%ce%c3%ac%bf%b9%a4%cb%a4%c6" TargetMode="External"/><Relationship Id="rId49" Type="http://schemas.openxmlformats.org/officeDocument/2006/relationships/hyperlink" Target="https://seesaawiki.jp/toho-motoneta_2nd/d/%c9%d4%cc%c7%a4%ce%a5%ec%a5%c3%a5%c9%a5%bd%a5%a6%a5%eb" TargetMode="External"/><Relationship Id="rId103" Type="http://schemas.openxmlformats.org/officeDocument/2006/relationships/hyperlink" Target="https://seesaawiki.jp/toho-motoneta_2nd/e/add?pagename=%bf%b4%e5%ba%cf%b0%d3%f2%bb%d2%3f" TargetMode="External"/><Relationship Id="rId102" Type="http://schemas.openxmlformats.org/officeDocument/2006/relationships/hyperlink" Target="https://seesaawiki.jp/toho-motoneta_2nd/d/%bf%d0%b3%a6%c9%d4%ca%d1%a4%ce%a5%da%a5%b7%a5%df%a5%ba%a5%e0" TargetMode="External"/><Relationship Id="rId101" Type="http://schemas.openxmlformats.org/officeDocument/2006/relationships/hyperlink" Target="https://seesaawiki.jp/toho-motoneta_2nd/d/%cb%b4%bc%ba%a4%ce%a5%a8%a5%e2%a1%bc%a5%b7%a5%e7%a5%f3" TargetMode="External"/><Relationship Id="rId100" Type="http://schemas.openxmlformats.org/officeDocument/2006/relationships/hyperlink" Target="https://seesaawiki.jp/toho-motoneta_2nd/d/%b8%b8%c1%db%b6%bf%a4%ce%c6%f3%a5%c3%b4%e4" TargetMode="External"/><Relationship Id="rId31" Type="http://schemas.openxmlformats.org/officeDocument/2006/relationships/hyperlink" Target="https://seesaawiki.jp/toho-motoneta_2nd/d/%cf%a2%c2%d3%c0%d5%bf%cd" TargetMode="External"/><Relationship Id="rId30" Type="http://schemas.openxmlformats.org/officeDocument/2006/relationships/hyperlink" Target="https://seesaawiki.jp/toho-motoneta_2nd/d/%d8%e1%b0%cd%c5%ea%b9%e7" TargetMode="External"/><Relationship Id="rId33" Type="http://schemas.openxmlformats.org/officeDocument/2006/relationships/hyperlink" Target="https://seesaawiki.jp/toho-motoneta_2nd/d/%b3%ab%b1%e9%b4%d6%b6%e1" TargetMode="External"/><Relationship Id="rId32" Type="http://schemas.openxmlformats.org/officeDocument/2006/relationships/hyperlink" Target="https://seesaawiki.jp/toho-motoneta_2nd/d/%c1%d4%b8%c0%c2%e7%b8%ec" TargetMode="External"/><Relationship Id="rId35" Type="http://schemas.openxmlformats.org/officeDocument/2006/relationships/hyperlink" Target="https://seesaawiki.jp/toho-motoneta_2nd/d/%b9%d4%b1%c0%ce%ae%bf%e5" TargetMode="External"/><Relationship Id="rId34" Type="http://schemas.openxmlformats.org/officeDocument/2006/relationships/hyperlink" Target="https://seesaawiki.jp/toho-motoneta_2nd/d/%c5%b7%b0%e1%cc%b5%cb%a5" TargetMode="External"/><Relationship Id="rId37" Type="http://schemas.openxmlformats.org/officeDocument/2006/relationships/hyperlink" Target="https://seesaawiki.jp/toho-motoneta_2nd/d/%ba%e9%a4%ad%b8%d8%a4%eb%d8%e1%b0%cd%b2%da" TargetMode="External"/><Relationship Id="rId36" Type="http://schemas.openxmlformats.org/officeDocument/2006/relationships/hyperlink" Target="https://seesaawiki.jp/toho-motoneta_2nd/d/%cc%a4%a4%c0%e9%b2%a4%e0%d8%e1%b0%cd%b2%da" TargetMode="External"/><Relationship Id="rId39" Type="http://schemas.openxmlformats.org/officeDocument/2006/relationships/hyperlink" Target="https://seesaawiki.jp/toho-motoneta_2nd/d/%c3%cf%a4%ce%bf%a7%a4%cf%b2%ab%bf%a7" TargetMode="External"/><Relationship Id="rId38" Type="http://schemas.openxmlformats.org/officeDocument/2006/relationships/hyperlink" Target="https://seesaawiki.jp/toho-motoneta_2nd/d/%cd%aa%b5%d7%a4%ce%be%f8%b5%a4%b5%a1%b4%d8" TargetMode="External"/><Relationship Id="rId20" Type="http://schemas.openxmlformats.org/officeDocument/2006/relationships/hyperlink" Target="https://seesaawiki.jp/toho-motoneta_2nd/e/add?pagename=%a4%dc%a4%af%a4%e9%a4%ce%c8%f3%c1%db%c5%b7%c2%a7" TargetMode="External"/><Relationship Id="rId22" Type="http://schemas.openxmlformats.org/officeDocument/2006/relationships/hyperlink" Target="https://seesaawiki.jp/toho-motoneta_2nd/d/%cd%aa%b5%d7%a4%ce%be%f8%b5%a4%b5%a1%b4%d8" TargetMode="External"/><Relationship Id="rId21" Type="http://schemas.openxmlformats.org/officeDocument/2006/relationships/hyperlink" Target="https://seesaawiki.jp/toho-motoneta_2nd/e/add?pagename=%bf%cd%b7%c1%a4%ce%a4%a2%a4%eb%c9%f7%b7%ca" TargetMode="External"/><Relationship Id="rId24" Type="http://schemas.openxmlformats.org/officeDocument/2006/relationships/hyperlink" Target="https://seesaawiki.jp/toho-motoneta_2nd/d/%b6%f5%a4%cb%c9%e2%a4%ab%a4%d6%ca%aa%c2%ceX" TargetMode="External"/><Relationship Id="rId23" Type="http://schemas.openxmlformats.org/officeDocument/2006/relationships/hyperlink" Target="https://seesaawiki.jp/toho-motoneta_2nd/d/%a5%a2%a5%f3%a5%ce%a5%a6%a5%f3X%a1%a1%a1%c1%20Unfound%20Adventure" TargetMode="External"/><Relationship Id="rId26" Type="http://schemas.openxmlformats.org/officeDocument/2006/relationships/hyperlink" Target="https://seesaawiki.jp/toho-motoneta_2nd/d/%b0%d5%b5%a4%cd%c8%a1%b9" TargetMode="External"/><Relationship Id="rId25" Type="http://schemas.openxmlformats.org/officeDocument/2006/relationships/hyperlink" Target="https://seesaawiki.jp/toho-motoneta_2nd/d/%d8%e1%b0%cd%b2%da%a5%bf%a5%a4%a5%c8%a5%ebBGM" TargetMode="External"/><Relationship Id="rId28" Type="http://schemas.openxmlformats.org/officeDocument/2006/relationships/hyperlink" Target="https://seesaawiki.jp/toho-motoneta_2nd/d/%b0%db%bf%b4%c6%b1%c2%ce" TargetMode="External"/><Relationship Id="rId27" Type="http://schemas.openxmlformats.org/officeDocument/2006/relationships/hyperlink" Target="https://seesaawiki.jp/toho-motoneta_2nd/d/%c3%ce%ce%ac%bd%c4%b2%a3" TargetMode="External"/><Relationship Id="rId29" Type="http://schemas.openxmlformats.org/officeDocument/2006/relationships/hyperlink" Target="https://seesaawiki.jp/toho-motoneta_2nd/d/%b9%e7%b1%ef%b4%f1%b1%ef" TargetMode="External"/><Relationship Id="rId95" Type="http://schemas.openxmlformats.org/officeDocument/2006/relationships/hyperlink" Target="https://seesaawiki.jp/toho-motoneta_2nd/e/add?pagename=%c4%c1%b5%d2" TargetMode="External"/><Relationship Id="rId94" Type="http://schemas.openxmlformats.org/officeDocument/2006/relationships/hyperlink" Target="https://seesaawiki.jp/toho-motoneta_2nd/e/add?pagename=%cd%a9%b6%ad" TargetMode="External"/><Relationship Id="rId97" Type="http://schemas.openxmlformats.org/officeDocument/2006/relationships/hyperlink" Target="https://seesaawiki.jp/toho-motoneta_2nd/d/%c0%ef%bf%d7" TargetMode="External"/><Relationship Id="rId96" Type="http://schemas.openxmlformats.org/officeDocument/2006/relationships/hyperlink" Target="https://seesaawiki.jp/toho-motoneta_2nd/e/add?pagename=%b9%c8%cc%eb" TargetMode="External"/><Relationship Id="rId11" Type="http://schemas.openxmlformats.org/officeDocument/2006/relationships/hyperlink" Target="https://seesaawiki.jp/toho-motoneta_2nd/d/%ce%e4%b6%e3%b4%d7%bf%ec" TargetMode="External"/><Relationship Id="rId99" Type="http://schemas.openxmlformats.org/officeDocument/2006/relationships/hyperlink" Target="https://seesaawiki.jp/toho-motoneta_2nd/d/%ba%d5%b7%ee" TargetMode="External"/><Relationship Id="rId10" Type="http://schemas.openxmlformats.org/officeDocument/2006/relationships/hyperlink" Target="https://seesaawiki.jp/toho-motoneta_2nd/d/%d3%de%a4%ea%a4%ce%cd%b7%b5%ba" TargetMode="External"/><Relationship Id="rId98" Type="http://schemas.openxmlformats.org/officeDocument/2006/relationships/hyperlink" Target="https://seesaawiki.jp/toho-motoneta_2nd/e/add?pagename=%b2%d2%b5%a1" TargetMode="External"/><Relationship Id="rId13" Type="http://schemas.openxmlformats.org/officeDocument/2006/relationships/hyperlink" Target="https://seesaawiki.jp/toho-motoneta_2nd/d/%b9%f5%a4%a4%b3%a4%a4%cb%b9%c8%a4%af%a1%a1%a1%c1%20Legendary%20Fish" TargetMode="External"/><Relationship Id="rId12" Type="http://schemas.openxmlformats.org/officeDocument/2006/relationships/hyperlink" Target="https://seesaawiki.jp/toho-motoneta_2nd/d/%b1%c0%b3%b0%c1%f3%c5%b7" TargetMode="External"/><Relationship Id="rId91" Type="http://schemas.openxmlformats.org/officeDocument/2006/relationships/hyperlink" Target="https://seesaawiki.jp/toho-motoneta_2nd/e/add?pagename=%a4%a2%a4%e6%a4%ce%a4%ab%a4%bc" TargetMode="External"/><Relationship Id="rId90" Type="http://schemas.openxmlformats.org/officeDocument/2006/relationships/hyperlink" Target="https://seesaawiki.jp/toho-motoneta_2nd/e/add?pagename=Intermezzo" TargetMode="External"/><Relationship Id="rId93" Type="http://schemas.openxmlformats.org/officeDocument/2006/relationships/hyperlink" Target="https://seesaawiki.jp/toho-motoneta_2nd/e/add?pagename=%b6%c4%b6%f5" TargetMode="External"/><Relationship Id="rId92" Type="http://schemas.openxmlformats.org/officeDocument/2006/relationships/hyperlink" Target="https://seesaawiki.jp/toho-motoneta_2nd/e/add?pagename=%bf%b9%b4%d7" TargetMode="External"/><Relationship Id="rId15" Type="http://schemas.openxmlformats.org/officeDocument/2006/relationships/hyperlink" Target="https://seesaawiki.jp/toho-motoneta_2nd/d/%cd%ad%c4%ba%c5%b7%ca%d1%a1%a1%a1%c1%20Wonderful%20Heaven" TargetMode="External"/><Relationship Id="rId110" Type="http://schemas.openxmlformats.org/officeDocument/2006/relationships/drawing" Target="../drawings/drawing14.xml"/><Relationship Id="rId14" Type="http://schemas.openxmlformats.org/officeDocument/2006/relationships/hyperlink" Target="https://seesaawiki.jp/toho-motoneta_2nd/d/%c5%b7%b0%e1%cc%b5%cb%a5" TargetMode="External"/><Relationship Id="rId17" Type="http://schemas.openxmlformats.org/officeDocument/2006/relationships/hyperlink" Target="https://seesaawiki.jp/toho-motoneta_2nd/d/%ca%eb%bf%a7%c1%f3%c1%b3" TargetMode="External"/><Relationship Id="rId16" Type="http://schemas.openxmlformats.org/officeDocument/2006/relationships/hyperlink" Target="https://seesaawiki.jp/toho-motoneta_2nd/d/%cd%c4%bf%b4%c3%cf%a4%ce%cd%ad%c4%ba%c5%b7" TargetMode="External"/><Relationship Id="rId19" Type="http://schemas.openxmlformats.org/officeDocument/2006/relationships/hyperlink" Target="https://seesaawiki.jp/toho-motoneta_2nd/e/add?pagename=%c5%c1%c0%e2%a4%ce%b5%f0%bf%c0" TargetMode="External"/><Relationship Id="rId18" Type="http://schemas.openxmlformats.org/officeDocument/2006/relationships/hyperlink" Target="https://seesaawiki.jp/toho-motoneta_2nd/e/add?pagename=%b7%af%a4%cf%a4%a2%a4%ce%b1%c6%a4%f2%b8%ab%a4%bf%a4%ab" TargetMode="External"/><Relationship Id="rId84" Type="http://schemas.openxmlformats.org/officeDocument/2006/relationships/hyperlink" Target="https://seesaawiki.jp/toho-motoneta_2nd/e/add?pagename=%b2%c6%cc%c0%a4%ad" TargetMode="External"/><Relationship Id="rId83" Type="http://schemas.openxmlformats.org/officeDocument/2006/relationships/hyperlink" Target="https://seesaawiki.jp/toho-motoneta_2nd/d/%b8%e6%b2%c0%a4%ce%b9%f1%a4%ce%b5%b4%a4%ac%c5%e7%a1%a1%a1%c1%20Missing%20Power" TargetMode="External"/><Relationship Id="rId86" Type="http://schemas.openxmlformats.org/officeDocument/2006/relationships/hyperlink" Target="https://seesaawiki.jp/toho-motoneta_2nd/e/add?pagename=%cb%e2%bd%ea" TargetMode="External"/><Relationship Id="rId85" Type="http://schemas.openxmlformats.org/officeDocument/2006/relationships/hyperlink" Target="https://seesaawiki.jp/toho-motoneta_2nd/d/%c5%ec%ca%fd%e8%c4%cc%b4%c1%db%a1%ca%b6%ca%a1%cb" TargetMode="External"/><Relationship Id="rId88" Type="http://schemas.openxmlformats.org/officeDocument/2006/relationships/hyperlink" Target="https://seesaawiki.jp/toho-motoneta_2nd/d/%ca%d7%bb%b2" TargetMode="External"/><Relationship Id="rId87" Type="http://schemas.openxmlformats.org/officeDocument/2006/relationships/hyperlink" Target="https://seesaawiki.jp/toho-motoneta_2nd/d/%b7%ee%ce%d8" TargetMode="External"/><Relationship Id="rId89" Type="http://schemas.openxmlformats.org/officeDocument/2006/relationships/hyperlink" Target="https://seesaawiki.jp/toho-motoneta_2nd/e/add?pagename=%ce%a2%bf%b4" TargetMode="External"/><Relationship Id="rId80" Type="http://schemas.openxmlformats.org/officeDocument/2006/relationships/hyperlink" Target="https://seesaawiki.jp/toho-motoneta_2nd/e/add?pagename=%e8%c4%cc%b4%c1%db" TargetMode="External"/><Relationship Id="rId82" Type="http://schemas.openxmlformats.org/officeDocument/2006/relationships/hyperlink" Target="https://seesaawiki.jp/toho-motoneta_2nd/d/%cc%eb%a4%ac%b9%df%a4%ea%a4%c6%a4%af%a4%eb%a1%a1%a1%c1%20Evening%20Star" TargetMode="External"/><Relationship Id="rId81" Type="http://schemas.openxmlformats.org/officeDocument/2006/relationships/hyperlink" Target="https://seesaawiki.jp/toho-motoneta_2nd/d/Demystify%20Feast" TargetMode="External"/><Relationship Id="rId1" Type="http://schemas.openxmlformats.org/officeDocument/2006/relationships/hyperlink" Target="https://seesaawiki.jp/toho-motoneta_2nd/d/%c8%ec%c1%db%c5%b7" TargetMode="External"/><Relationship Id="rId2" Type="http://schemas.openxmlformats.org/officeDocument/2006/relationships/hyperlink" Target="https://seesaawiki.jp/toho-motoneta_2nd/d/%c6%fc%be%ef%ba%c1%b2%e9" TargetMode="External"/><Relationship Id="rId3" Type="http://schemas.openxmlformats.org/officeDocument/2006/relationships/hyperlink" Target="https://seesaawiki.jp/toho-motoneta_2nd/d/%c3%cf%a4%ce%bf%a7%a4%cf%b2%ab%bf%a7" TargetMode="External"/><Relationship Id="rId4" Type="http://schemas.openxmlformats.org/officeDocument/2006/relationships/hyperlink" Target="https://seesaawiki.jp/toho-motoneta_2nd/d/%b9%c3%cf%c0%b2%b5%c7%fd" TargetMode="External"/><Relationship Id="rId9" Type="http://schemas.openxmlformats.org/officeDocument/2006/relationships/hyperlink" Target="https://seesaawiki.jp/toho-motoneta_2nd/d/%ca%fc%bd%c4%c9%d4%e6%b3" TargetMode="External"/><Relationship Id="rId5" Type="http://schemas.openxmlformats.org/officeDocument/2006/relationships/hyperlink" Target="https://seesaawiki.jp/toho-motoneta_2nd/d/%c9%f7%b8%f7%cc%c0%d5%bb" TargetMode="External"/><Relationship Id="rId6" Type="http://schemas.openxmlformats.org/officeDocument/2006/relationships/hyperlink" Target="https://seesaawiki.jp/toho-motoneta_2nd/d/%b9%e1%a4%eb%bc%f9%cd%d5%b2%d6" TargetMode="External"/><Relationship Id="rId7" Type="http://schemas.openxmlformats.org/officeDocument/2006/relationships/hyperlink" Target="https://seesaawiki.jp/toho-motoneta_2nd/d/%cd%d9%a4%eb%bf%e5%c8%f4%cb%f7" TargetMode="External"/><Relationship Id="rId8" Type="http://schemas.openxmlformats.org/officeDocument/2006/relationships/hyperlink" Target="https://seesaawiki.jp/toho-motoneta_2nd/d/%b0%ca%b5%fb%b6%ee%ea%a4" TargetMode="External"/><Relationship Id="rId73" Type="http://schemas.openxmlformats.org/officeDocument/2006/relationships/hyperlink" Target="https://seesaawiki.jp/toho-motoneta_2nd/e/add?pagename=%b8%f8%c0%b5%a4%ca%a4%eb%c3%a5%a4%a4%b9%e7%a4%a4" TargetMode="External"/><Relationship Id="rId72" Type="http://schemas.openxmlformats.org/officeDocument/2006/relationships/hyperlink" Target="https://seesaawiki.jp/toho-motoneta_2nd/e/add?pagename=%bc%b7%b6%cc%bd%af%bd%b8%a5%b7%a5%e7%a5%a6%a5%c0%a5%a6%a5%f3" TargetMode="External"/><Relationship Id="rId75" Type="http://schemas.openxmlformats.org/officeDocument/2006/relationships/hyperlink" Target="https://seesaawiki.jp/toho-motoneta_2nd/d/%c3%dd%ce%d3%a5%a4%a5%f3%a5%d5%a5%ec%a5%a4%a5%e0" TargetMode="External"/><Relationship Id="rId74" Type="http://schemas.openxmlformats.org/officeDocument/2006/relationships/hyperlink" Target="https://seesaawiki.jp/toho-motoneta_2nd/d/%b2%af%cb%fc%b9%e5%a4%ce%be%e2" TargetMode="External"/><Relationship Id="rId77" Type="http://schemas.openxmlformats.org/officeDocument/2006/relationships/hyperlink" Target="https://seesaawiki.jp/toho-motoneta_2nd/e/add?pagename=%cc%c0%a4%ab%a4%b5%a4%ec%a4%eb%bf%bc%c8%eb" TargetMode="External"/><Relationship Id="rId76" Type="http://schemas.openxmlformats.org/officeDocument/2006/relationships/hyperlink" Target="https://seesaawiki.jp/toho-motoneta_2nd/e/add?pagename=%b3%c6%a1%b9%a4%ce%b7%eb%cb%f6" TargetMode="External"/><Relationship Id="rId79" Type="http://schemas.openxmlformats.org/officeDocument/2006/relationships/hyperlink" Target="https://seesaawiki.jp/toho-motoneta_2nd/d/%a5%e9%a5%b9%a5%c8%a5%aa%a5%ab%a5%eb%a5%c6%a5%a3%a5%ba%a5%e0%a1%a1%a1%c1%20%b8%bd%a4%b7%c0%a4%a4%ce%c8%eb%bd%d1%bb%d5" TargetMode="External"/><Relationship Id="rId78" Type="http://schemas.openxmlformats.org/officeDocument/2006/relationships/hyperlink" Target="https://seesaawiki.jp/toho-motoneta_2nd/d/%b2%da%b6%b9%b4%d6%a4%ce%a5%d0%a5%c8%a5%eb%a5%d5%a5%a3%a1%bc%a5%eb%a5%c9" TargetMode="External"/><Relationship Id="rId71" Type="http://schemas.openxmlformats.org/officeDocument/2006/relationships/hyperlink" Target="https://seesaawiki.jp/toho-motoneta_2nd/d/%a5%aa%a5%ab%a5%eb%a5%c8%a5%a2%a5%e9%a5%ab%a5%eb%a5%c8" TargetMode="External"/><Relationship Id="rId70" Type="http://schemas.openxmlformats.org/officeDocument/2006/relationships/hyperlink" Target="https://seesaawiki.jp/toho-motoneta_2nd/d/%b3%b0%b3%a6%a5%d5%a5%a9%a1%bc%a5%af%a5%ed%a5%a2" TargetMode="External"/><Relationship Id="rId62" Type="http://schemas.openxmlformats.org/officeDocument/2006/relationships/hyperlink" Target="https://seesaawiki.jp/toho-motoneta_2nd/d/%bf%b4%cd%c9%a4%b5%a4%d6%a4%eb%c5%d4%bb%d4%c5%c1%c0%e2" TargetMode="External"/><Relationship Id="rId61" Type="http://schemas.openxmlformats.org/officeDocument/2006/relationships/hyperlink" Target="https://seesaawiki.jp/toho-motoneta_2nd/d/%a5%a2%a5%f3%a5%ce%a5%a6%a5%f3X%a1%a1%a1%c1%20Unfound%20Adventure" TargetMode="External"/><Relationship Id="rId64" Type="http://schemas.openxmlformats.org/officeDocument/2006/relationships/hyperlink" Target="https://seesaawiki.jp/toho-motoneta_2nd/e/add?pagename=%a5%dc%a1%bc%a5%eb%a4%ce%a4%a2%a4%eb%c6%fc%be%ef" TargetMode="External"/><Relationship Id="rId63" Type="http://schemas.openxmlformats.org/officeDocument/2006/relationships/hyperlink" Target="https://seesaawiki.jp/toho-motoneta_2nd/d/%b8%b8%c1%db%b6%bf%a4%d5%a4%b7%a4%ae%c8%af%b8%ab" TargetMode="External"/><Relationship Id="rId66" Type="http://schemas.openxmlformats.org/officeDocument/2006/relationships/hyperlink" Target="https://seesaawiki.jp/toho-motoneta_2nd/e/add?pagename=%bb%fe%c2%e5%a4%ce%c9%f7%a4%ce%cb%ac%a4%ec" TargetMode="External"/><Relationship Id="rId65" Type="http://schemas.openxmlformats.org/officeDocument/2006/relationships/hyperlink" Target="https://seesaawiki.jp/toho-motoneta_2nd/e/add?pagename=%b8%b2%b8%bd%a4%b7%a4%bf%c5%c1%be%b5%a4%ce%b7%c1" TargetMode="External"/><Relationship Id="rId68" Type="http://schemas.openxmlformats.org/officeDocument/2006/relationships/hyperlink" Target="https://seesaawiki.jp/toho-motoneta_2nd/e/add?pagename=%b2%c4%c7%bd%c0%ad%a4%f2%bf%ae%a4%b8%a4%c6" TargetMode="External"/><Relationship Id="rId67" Type="http://schemas.openxmlformats.org/officeDocument/2006/relationships/hyperlink" Target="https://seesaawiki.jp/toho-motoneta_2nd/e/add?pagename=%b2%c1%c3%cd%a4%ac%a4%ef%a4%ab%a4%e9%a4%ca%a4%a4" TargetMode="External"/><Relationship Id="rId60" Type="http://schemas.openxmlformats.org/officeDocument/2006/relationships/hyperlink" Target="https://seesaawiki.jp/toho-motoneta_2nd/d/%b2%af%cb%fc%b9%e5%a4%ce%be%e2" TargetMode="External"/><Relationship Id="rId69" Type="http://schemas.openxmlformats.org/officeDocument/2006/relationships/hyperlink" Target="https://seesaawiki.jp/toho-motoneta_2nd/e/add?pagename=%bf%bf%bc%c2%a4%f2%c3%ce%a4%eb%bc%d4" TargetMode="External"/><Relationship Id="rId51" Type="http://schemas.openxmlformats.org/officeDocument/2006/relationships/hyperlink" Target="https://seesaawiki.jp/toho-motoneta_2nd/d/%c0%e9%a4%ce%bb%ee%ce%fd%a4%f2%c4%b6%a4%a8%a4%c6" TargetMode="External"/><Relationship Id="rId50" Type="http://schemas.openxmlformats.org/officeDocument/2006/relationships/hyperlink" Target="https://seesaawiki.jp/toho-motoneta_2nd/d/%cd%ee%c6%fc%a4%cb%b1%c7%a4%a8%a4%eb%b5%d5%a4%b5%be%eb" TargetMode="External"/><Relationship Id="rId53" Type="http://schemas.openxmlformats.org/officeDocument/2006/relationships/hyperlink" Target="https://seesaawiki.jp/toho-motoneta_2nd/d/%b1%ca%b1%f3%a4%cb%c2%b3%a4%af%b2%f3%cf%ad" TargetMode="External"/><Relationship Id="rId52" Type="http://schemas.openxmlformats.org/officeDocument/2006/relationships/hyperlink" Target="https://seesaawiki.jp/toho-motoneta_2nd/d/%b3%b0%b3%a6%a5%d5%a5%a9%a1%bc%a5%af%a5%ed%a5%a2" TargetMode="External"/><Relationship Id="rId55" Type="http://schemas.openxmlformats.org/officeDocument/2006/relationships/hyperlink" Target="https://seesaawiki.jp/toho-motoneta_2nd/d/%bb%ea%a4%eb%cd%ad%c4%ba%c5%b7" TargetMode="External"/><Relationship Id="rId54" Type="http://schemas.openxmlformats.org/officeDocument/2006/relationships/hyperlink" Target="https://seesaawiki.jp/toho-motoneta_2nd/d/%a5%b9%a5%ea%a1%bc%a5%d7%a5%b7%a1%bc%a5%d7%8e%a5%a5%d1%a5%ec%a1%bc%a5%c9" TargetMode="External"/><Relationship Id="rId57" Type="http://schemas.openxmlformats.org/officeDocument/2006/relationships/hyperlink" Target="https://seesaawiki.jp/toho-motoneta_2nd/d/%ba%a3%be%ac%a4%cf%f1%a8%b0%ef%a4%ca%a5%a8%a5%b4%a5%a4%a5%b9%a5%c8%28Live%20ver%29%a1%a1%a1%c1%20Egoistic%20Flowers." TargetMode="External"/><Relationship Id="rId56" Type="http://schemas.openxmlformats.org/officeDocument/2006/relationships/hyperlink" Target="https://seesaawiki.jp/toho-motoneta_2nd/d/%d8%e1%ba%c1%a4%cf%cc%b4%a4%c8%b8%bd%a4%ce%b4%d6%a4%cb%a1%a1%a1%c1%20Necro-Fantasia" TargetMode="External"/><Relationship Id="rId59" Type="http://schemas.openxmlformats.org/officeDocument/2006/relationships/hyperlink" Target="https://seesaawiki.jp/toho-motoneta_2nd/d/%c3%dd%ce%d3%a5%a4%a5%f3%a5%d5%a5%ec%a5%a4%a5%e0" TargetMode="External"/><Relationship Id="rId58" Type="http://schemas.openxmlformats.org/officeDocument/2006/relationships/hyperlink" Target="https://seesaawiki.jp/toho-motoneta_2nd/d/%a5%aa%a5%ab%a5%eb%a5%c8%a5%a2%a5%c8%a5%e9%a5%af%a5%c8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23.0"/>
    <col customWidth="1" min="30" max="33" width="25.63"/>
    <col customWidth="1" min="34" max="34" width="23.0"/>
  </cols>
  <sheetData>
    <row r="1">
      <c r="A1" s="1" t="s">
        <v>0</v>
      </c>
      <c r="B1" s="2" t="s">
        <v>1</v>
      </c>
      <c r="AH1" s="1" t="s">
        <v>0</v>
      </c>
    </row>
    <row r="2">
      <c r="A2" s="3" t="s">
        <v>2</v>
      </c>
      <c r="B2" s="3" t="s">
        <v>3</v>
      </c>
      <c r="C2" s="3">
        <v>6.0</v>
      </c>
      <c r="D2" s="3">
        <v>7.0</v>
      </c>
      <c r="E2" s="3">
        <v>8.0</v>
      </c>
      <c r="F2" s="3">
        <v>7.5</v>
      </c>
      <c r="G2" s="3">
        <v>9.0</v>
      </c>
      <c r="H2" s="3">
        <v>9.5</v>
      </c>
      <c r="I2" s="3">
        <v>9.5</v>
      </c>
      <c r="J2" s="3">
        <v>10.0</v>
      </c>
      <c r="K2" s="3">
        <v>10.5</v>
      </c>
      <c r="L2" s="3">
        <v>11.0</v>
      </c>
      <c r="M2" s="3">
        <v>12.0</v>
      </c>
      <c r="N2" s="3">
        <v>12.3</v>
      </c>
      <c r="O2" s="3">
        <v>12.5</v>
      </c>
      <c r="P2" s="3">
        <v>12.8</v>
      </c>
      <c r="Q2" s="3">
        <v>13.0</v>
      </c>
      <c r="R2" s="3">
        <v>13.5</v>
      </c>
      <c r="S2" s="3">
        <v>14.0</v>
      </c>
      <c r="T2" s="3">
        <v>14.3</v>
      </c>
      <c r="U2" s="3">
        <v>14.5</v>
      </c>
      <c r="V2" s="3">
        <v>15.0</v>
      </c>
      <c r="W2" s="3">
        <v>16.0</v>
      </c>
      <c r="X2" s="3">
        <v>15.5</v>
      </c>
      <c r="Y2" s="1">
        <v>16.5</v>
      </c>
      <c r="Z2" s="1">
        <v>17.0</v>
      </c>
      <c r="AA2" s="1">
        <v>18.0</v>
      </c>
      <c r="AB2" s="1">
        <v>17.5</v>
      </c>
      <c r="AC2" s="1">
        <v>18.5</v>
      </c>
      <c r="AH2" s="3"/>
    </row>
    <row r="3">
      <c r="A3" s="3" t="s">
        <v>4</v>
      </c>
      <c r="B3" s="3">
        <v>2000.0</v>
      </c>
      <c r="C3" s="3">
        <v>2002.0</v>
      </c>
      <c r="D3" s="3">
        <v>2003.0</v>
      </c>
      <c r="E3" s="3">
        <v>2004.0</v>
      </c>
      <c r="F3" s="3">
        <v>2004.0</v>
      </c>
      <c r="G3" s="3">
        <v>2005.0</v>
      </c>
      <c r="H3" s="3">
        <v>2005.0</v>
      </c>
      <c r="I3" s="3">
        <v>2005.0</v>
      </c>
      <c r="J3" s="3">
        <v>2007.0</v>
      </c>
      <c r="K3" s="3">
        <v>2008.0</v>
      </c>
      <c r="L3" s="3">
        <v>2008.0</v>
      </c>
      <c r="M3" s="3">
        <v>2009.0</v>
      </c>
      <c r="N3" s="3">
        <v>2009.0</v>
      </c>
      <c r="O3" s="3">
        <v>2010.0</v>
      </c>
      <c r="P3" s="3">
        <v>2010.0</v>
      </c>
      <c r="Q3" s="3">
        <v>2011.0</v>
      </c>
      <c r="R3" s="3">
        <v>2013.0</v>
      </c>
      <c r="S3" s="3">
        <v>2013.0</v>
      </c>
      <c r="T3" s="3">
        <v>2014.0</v>
      </c>
      <c r="U3" s="3">
        <v>2015.0</v>
      </c>
      <c r="V3" s="3">
        <v>2015.0</v>
      </c>
      <c r="W3" s="4">
        <v>2017.0</v>
      </c>
      <c r="X3" s="4">
        <v>2017.0</v>
      </c>
      <c r="Y3" s="1">
        <v>2018.0</v>
      </c>
      <c r="Z3" s="1">
        <v>2019.0</v>
      </c>
      <c r="AA3" s="1">
        <v>2021.0</v>
      </c>
      <c r="AB3" s="1">
        <v>2021.0</v>
      </c>
      <c r="AC3" s="3">
        <v>2022.0</v>
      </c>
      <c r="AD3" s="3"/>
      <c r="AE3" s="3"/>
      <c r="AF3" s="3"/>
      <c r="AG3" s="3"/>
      <c r="AH3" s="3" t="s">
        <v>4</v>
      </c>
    </row>
    <row r="4">
      <c r="A4" s="3" t="s">
        <v>5</v>
      </c>
      <c r="B4" s="3"/>
      <c r="C4" s="3">
        <v>1.0</v>
      </c>
      <c r="D4" s="3">
        <v>2.0</v>
      </c>
      <c r="E4" s="3">
        <v>3.0</v>
      </c>
      <c r="F4" s="3"/>
      <c r="G4" s="3">
        <v>4.0</v>
      </c>
      <c r="H4" s="3"/>
      <c r="I4" s="3"/>
      <c r="J4" s="3"/>
      <c r="K4" s="3">
        <v>5.0</v>
      </c>
      <c r="L4" s="3"/>
      <c r="M4" s="3">
        <v>6.0</v>
      </c>
      <c r="N4" s="3"/>
      <c r="O4" s="3"/>
      <c r="P4" s="3"/>
      <c r="Q4" s="3"/>
      <c r="R4" s="3"/>
      <c r="S4" s="3"/>
      <c r="T4" s="3"/>
      <c r="U4" s="3"/>
      <c r="V4" s="3"/>
      <c r="W4" s="5"/>
      <c r="X4" s="3"/>
      <c r="AC4" s="3"/>
      <c r="AD4" s="3"/>
      <c r="AE4" s="3"/>
      <c r="AF4" s="3"/>
      <c r="AG4" s="3"/>
      <c r="AH4" s="3" t="s">
        <v>5</v>
      </c>
    </row>
    <row r="5">
      <c r="A5" s="3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6" t="s">
        <v>27</v>
      </c>
      <c r="X5" s="7" t="s">
        <v>28</v>
      </c>
      <c r="Y5" s="8" t="s">
        <v>29</v>
      </c>
      <c r="Z5" s="8" t="s">
        <v>30</v>
      </c>
      <c r="AA5" s="9" t="s">
        <v>31</v>
      </c>
      <c r="AB5" s="10" t="s">
        <v>32</v>
      </c>
      <c r="AC5" s="8" t="s">
        <v>33</v>
      </c>
      <c r="AD5" s="3"/>
      <c r="AE5" s="3"/>
      <c r="AF5" s="3"/>
      <c r="AG5" s="3" t="s">
        <v>34</v>
      </c>
      <c r="AH5" s="3"/>
    </row>
    <row r="6">
      <c r="A6" s="3" t="s">
        <v>35</v>
      </c>
      <c r="B6" s="3">
        <v>1.0</v>
      </c>
      <c r="C6" s="3" t="s">
        <v>36</v>
      </c>
      <c r="D6" s="3" t="s">
        <v>36</v>
      </c>
      <c r="E6" s="3" t="s">
        <v>37</v>
      </c>
      <c r="F6" s="3" t="s">
        <v>36</v>
      </c>
      <c r="G6" s="3" t="s">
        <v>36</v>
      </c>
      <c r="H6" s="3" t="s">
        <v>38</v>
      </c>
      <c r="I6" s="3" t="s">
        <v>39</v>
      </c>
      <c r="J6" s="3" t="s">
        <v>36</v>
      </c>
      <c r="K6" s="3" t="s">
        <v>36</v>
      </c>
      <c r="L6" s="3" t="s">
        <v>36</v>
      </c>
      <c r="M6" s="3" t="s">
        <v>36</v>
      </c>
      <c r="N6" s="3" t="s">
        <v>36</v>
      </c>
      <c r="O6" s="3" t="s">
        <v>40</v>
      </c>
      <c r="P6" s="3" t="s">
        <v>41</v>
      </c>
      <c r="Q6" s="3" t="s">
        <v>36</v>
      </c>
      <c r="R6" s="3" t="s">
        <v>36</v>
      </c>
      <c r="S6" s="3" t="s">
        <v>36</v>
      </c>
      <c r="T6" s="3" t="s">
        <v>42</v>
      </c>
      <c r="U6" s="3" t="s">
        <v>36</v>
      </c>
      <c r="V6" s="3" t="s">
        <v>36</v>
      </c>
      <c r="W6" s="3" t="s">
        <v>36</v>
      </c>
      <c r="X6" s="3" t="s">
        <v>36</v>
      </c>
      <c r="AC6" s="3"/>
      <c r="AD6" s="3"/>
      <c r="AE6" s="3"/>
      <c r="AF6" s="3"/>
      <c r="AG6" s="3" t="s">
        <v>43</v>
      </c>
      <c r="AH6" s="3" t="s">
        <v>35</v>
      </c>
    </row>
    <row r="7">
      <c r="A7" s="3" t="s">
        <v>44</v>
      </c>
      <c r="B7" s="3">
        <v>1.0</v>
      </c>
      <c r="C7" s="3" t="s">
        <v>36</v>
      </c>
      <c r="D7" s="3" t="s">
        <v>36</v>
      </c>
      <c r="E7" s="3" t="s">
        <v>37</v>
      </c>
      <c r="F7" s="3" t="s">
        <v>36</v>
      </c>
      <c r="G7" s="3" t="s">
        <v>36</v>
      </c>
      <c r="H7" s="3" t="s">
        <v>38</v>
      </c>
      <c r="I7" s="3" t="s">
        <v>39</v>
      </c>
      <c r="J7" s="3" t="s">
        <v>36</v>
      </c>
      <c r="K7" s="3" t="s">
        <v>36</v>
      </c>
      <c r="L7" s="3" t="s">
        <v>36</v>
      </c>
      <c r="M7" s="3" t="s">
        <v>36</v>
      </c>
      <c r="N7" s="3" t="s">
        <v>36</v>
      </c>
      <c r="O7" s="3" t="s">
        <v>40</v>
      </c>
      <c r="P7" s="3" t="s">
        <v>45</v>
      </c>
      <c r="Q7" s="3" t="s">
        <v>36</v>
      </c>
      <c r="R7" s="3" t="s">
        <v>36</v>
      </c>
      <c r="S7" s="3" t="s">
        <v>36</v>
      </c>
      <c r="T7" s="3" t="s">
        <v>46</v>
      </c>
      <c r="U7" s="3" t="s">
        <v>36</v>
      </c>
      <c r="V7" s="3" t="s">
        <v>36</v>
      </c>
      <c r="W7" s="3" t="s">
        <v>36</v>
      </c>
      <c r="X7" s="3" t="s">
        <v>36</v>
      </c>
      <c r="AC7" s="3"/>
      <c r="AD7" s="3"/>
      <c r="AE7" s="3"/>
      <c r="AF7" s="3"/>
      <c r="AG7" s="3" t="s">
        <v>47</v>
      </c>
      <c r="AH7" s="3" t="s">
        <v>44</v>
      </c>
    </row>
    <row r="8">
      <c r="A8" s="3" t="s">
        <v>48</v>
      </c>
      <c r="B8" s="11"/>
      <c r="C8" s="3" t="s">
        <v>49</v>
      </c>
      <c r="D8" s="11"/>
      <c r="E8" s="11"/>
      <c r="F8" s="11"/>
      <c r="G8" s="11"/>
      <c r="H8" s="3" t="s">
        <v>38</v>
      </c>
      <c r="I8" s="3" t="s">
        <v>50</v>
      </c>
      <c r="J8" s="11"/>
      <c r="K8" s="11"/>
      <c r="L8" s="11"/>
      <c r="M8" s="11"/>
      <c r="N8" s="11"/>
      <c r="O8" s="11"/>
      <c r="P8" s="11"/>
      <c r="Q8" s="11"/>
      <c r="R8" s="3" t="s">
        <v>51</v>
      </c>
      <c r="S8" s="11"/>
      <c r="T8" s="11"/>
      <c r="U8" s="11"/>
      <c r="V8" s="11"/>
      <c r="W8" s="12"/>
      <c r="X8" s="11"/>
      <c r="AC8" s="3"/>
      <c r="AD8" s="3"/>
      <c r="AE8" s="3"/>
      <c r="AF8" s="3"/>
      <c r="AG8" s="3" t="s">
        <v>52</v>
      </c>
      <c r="AH8" s="3" t="s">
        <v>48</v>
      </c>
    </row>
    <row r="9">
      <c r="A9" s="3" t="s">
        <v>53</v>
      </c>
      <c r="B9" s="11"/>
      <c r="C9" s="3" t="s">
        <v>54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3" t="s">
        <v>55</v>
      </c>
      <c r="Q9" s="11"/>
      <c r="R9" s="11"/>
      <c r="S9" s="11"/>
      <c r="T9" s="11"/>
      <c r="U9" s="11"/>
      <c r="V9" s="11"/>
      <c r="AC9" s="11"/>
      <c r="AD9" s="11"/>
      <c r="AE9" s="11"/>
      <c r="AF9" s="11"/>
      <c r="AG9" s="11"/>
      <c r="AH9" s="3" t="s">
        <v>53</v>
      </c>
    </row>
    <row r="10">
      <c r="A10" s="3" t="s">
        <v>56</v>
      </c>
      <c r="B10" s="11"/>
      <c r="C10" s="3" t="s">
        <v>57</v>
      </c>
      <c r="D10" s="3" t="s">
        <v>58</v>
      </c>
      <c r="E10" s="11"/>
      <c r="F10" s="11"/>
      <c r="G10" s="3" t="s">
        <v>36</v>
      </c>
      <c r="H10" s="3" t="s">
        <v>38</v>
      </c>
      <c r="I10" s="3" t="s">
        <v>59</v>
      </c>
      <c r="J10" s="11"/>
      <c r="K10" s="11"/>
      <c r="L10" s="11"/>
      <c r="M10" s="11"/>
      <c r="N10" s="3" t="s">
        <v>36</v>
      </c>
      <c r="O10" s="11"/>
      <c r="P10" s="3" t="s">
        <v>36</v>
      </c>
      <c r="Q10" s="11"/>
      <c r="R10" s="3" t="s">
        <v>51</v>
      </c>
      <c r="S10" s="3" t="s">
        <v>58</v>
      </c>
      <c r="T10" s="3" t="s">
        <v>60</v>
      </c>
      <c r="U10" s="11"/>
      <c r="V10" s="11"/>
      <c r="W10" s="3" t="s">
        <v>36</v>
      </c>
      <c r="AC10" s="3"/>
      <c r="AD10" s="3"/>
      <c r="AE10" s="3"/>
      <c r="AF10" s="3"/>
      <c r="AG10" s="3" t="s">
        <v>61</v>
      </c>
      <c r="AH10" s="3" t="s">
        <v>56</v>
      </c>
    </row>
    <row r="11">
      <c r="A11" s="3" t="s">
        <v>62</v>
      </c>
      <c r="B11" s="11"/>
      <c r="C11" s="3" t="s">
        <v>63</v>
      </c>
      <c r="D11" s="11"/>
      <c r="E11" s="11"/>
      <c r="F11" s="3" t="s">
        <v>64</v>
      </c>
      <c r="G11" s="11"/>
      <c r="H11" s="3" t="s">
        <v>38</v>
      </c>
      <c r="I11" s="3" t="s">
        <v>65</v>
      </c>
      <c r="J11" s="11"/>
      <c r="K11" s="11"/>
      <c r="L11" s="11"/>
      <c r="M11" s="11"/>
      <c r="N11" s="3" t="s">
        <v>36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AC11" s="3"/>
      <c r="AD11" s="3"/>
      <c r="AE11" s="3"/>
      <c r="AF11" s="3"/>
      <c r="AG11" s="3" t="s">
        <v>66</v>
      </c>
      <c r="AH11" s="3" t="s">
        <v>62</v>
      </c>
    </row>
    <row r="12">
      <c r="A12" s="3" t="s">
        <v>67</v>
      </c>
      <c r="B12" s="11"/>
      <c r="C12" s="3" t="s">
        <v>68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AC12" s="11"/>
      <c r="AD12" s="11"/>
      <c r="AE12" s="11"/>
      <c r="AF12" s="11"/>
      <c r="AG12" s="11"/>
      <c r="AH12" s="3" t="s">
        <v>67</v>
      </c>
    </row>
    <row r="13">
      <c r="A13" s="3" t="s">
        <v>69</v>
      </c>
      <c r="B13" s="11"/>
      <c r="C13" s="3" t="s">
        <v>70</v>
      </c>
      <c r="D13" s="3" t="s">
        <v>71</v>
      </c>
      <c r="E13" s="3" t="s">
        <v>72</v>
      </c>
      <c r="F13" s="3" t="s">
        <v>36</v>
      </c>
      <c r="G13" s="3" t="s">
        <v>73</v>
      </c>
      <c r="H13" s="3" t="s">
        <v>38</v>
      </c>
      <c r="I13" s="3" t="s">
        <v>65</v>
      </c>
      <c r="J13" s="11"/>
      <c r="K13" s="3" t="s">
        <v>36</v>
      </c>
      <c r="L13" s="3" t="s">
        <v>74</v>
      </c>
      <c r="M13" s="11"/>
      <c r="N13" s="3" t="s">
        <v>36</v>
      </c>
      <c r="O13" s="11"/>
      <c r="P13" s="11"/>
      <c r="Q13" s="11"/>
      <c r="R13" s="3" t="s">
        <v>51</v>
      </c>
      <c r="S13" s="11"/>
      <c r="T13" s="11"/>
      <c r="U13" s="11"/>
      <c r="V13" s="11"/>
      <c r="W13" s="11"/>
      <c r="X13" s="11"/>
      <c r="AC13" s="3"/>
      <c r="AD13" s="3"/>
      <c r="AE13" s="3"/>
      <c r="AF13" s="3"/>
      <c r="AG13" s="3" t="s">
        <v>75</v>
      </c>
      <c r="AH13" s="3" t="s">
        <v>69</v>
      </c>
    </row>
    <row r="14">
      <c r="A14" s="3" t="s">
        <v>76</v>
      </c>
      <c r="B14" s="11"/>
      <c r="C14" s="3" t="s">
        <v>77</v>
      </c>
      <c r="D14" s="3" t="s">
        <v>36</v>
      </c>
      <c r="E14" s="3" t="s">
        <v>36</v>
      </c>
      <c r="F14" s="3" t="s">
        <v>36</v>
      </c>
      <c r="G14" s="3" t="s">
        <v>36</v>
      </c>
      <c r="H14" s="3" t="s">
        <v>38</v>
      </c>
      <c r="I14" s="3" t="s">
        <v>78</v>
      </c>
      <c r="J14" s="11"/>
      <c r="K14" s="3" t="s">
        <v>36</v>
      </c>
      <c r="L14" s="11"/>
      <c r="M14" s="11"/>
      <c r="N14" s="3" t="s">
        <v>36</v>
      </c>
      <c r="O14" s="11"/>
      <c r="P14" s="11"/>
      <c r="Q14" s="11"/>
      <c r="R14" s="3" t="s">
        <v>51</v>
      </c>
      <c r="S14" s="3" t="s">
        <v>36</v>
      </c>
      <c r="T14" s="3" t="s">
        <v>46</v>
      </c>
      <c r="U14" s="11"/>
      <c r="V14" s="11"/>
      <c r="W14" s="11"/>
      <c r="X14" s="11"/>
      <c r="AC14" s="3"/>
      <c r="AD14" s="3"/>
      <c r="AE14" s="3"/>
      <c r="AF14" s="3"/>
      <c r="AG14" s="3" t="s">
        <v>75</v>
      </c>
      <c r="AH14" s="3" t="s">
        <v>76</v>
      </c>
    </row>
    <row r="15">
      <c r="A15" s="3" t="s">
        <v>79</v>
      </c>
      <c r="B15" s="11"/>
      <c r="C15" s="3" t="s">
        <v>80</v>
      </c>
      <c r="D15" s="3" t="s">
        <v>81</v>
      </c>
      <c r="E15" s="3" t="s">
        <v>36</v>
      </c>
      <c r="F15" s="3" t="s">
        <v>36</v>
      </c>
      <c r="G15" s="3" t="s">
        <v>73</v>
      </c>
      <c r="H15" s="3" t="s">
        <v>38</v>
      </c>
      <c r="I15" s="3" t="s">
        <v>78</v>
      </c>
      <c r="J15" s="3" t="s">
        <v>82</v>
      </c>
      <c r="K15" s="3" t="s">
        <v>36</v>
      </c>
      <c r="L15" s="11"/>
      <c r="M15" s="11"/>
      <c r="N15" s="3" t="s">
        <v>36</v>
      </c>
      <c r="O15" s="11"/>
      <c r="P15" s="11"/>
      <c r="Q15" s="11"/>
      <c r="R15" s="3" t="s">
        <v>39</v>
      </c>
      <c r="S15" s="11"/>
      <c r="T15" s="3" t="s">
        <v>83</v>
      </c>
      <c r="U15" s="11"/>
      <c r="V15" s="11"/>
      <c r="W15" s="11"/>
      <c r="X15" s="11"/>
      <c r="AC15" s="3"/>
      <c r="AD15" s="3"/>
      <c r="AE15" s="3"/>
      <c r="AF15" s="3"/>
      <c r="AG15" s="3" t="s">
        <v>84</v>
      </c>
      <c r="AH15" s="3" t="s">
        <v>79</v>
      </c>
    </row>
    <row r="16">
      <c r="A16" s="3" t="s">
        <v>85</v>
      </c>
      <c r="B16" s="11"/>
      <c r="C16" s="3" t="s">
        <v>45</v>
      </c>
      <c r="D16" s="11"/>
      <c r="E16" s="11"/>
      <c r="F16" s="11"/>
      <c r="G16" s="11"/>
      <c r="H16" s="3" t="s">
        <v>38</v>
      </c>
      <c r="I16" s="3" t="s">
        <v>40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AC16" s="11"/>
      <c r="AD16" s="11"/>
      <c r="AE16" s="11"/>
      <c r="AF16" s="11"/>
      <c r="AG16" s="11"/>
      <c r="AH16" s="3" t="s">
        <v>85</v>
      </c>
    </row>
    <row r="17">
      <c r="A17" s="3" t="s">
        <v>86</v>
      </c>
      <c r="B17" s="11"/>
      <c r="C17" s="11"/>
      <c r="D17" s="3" t="s">
        <v>87</v>
      </c>
      <c r="E17" s="11"/>
      <c r="F17" s="11"/>
      <c r="G17" s="11"/>
      <c r="H17" s="3" t="s">
        <v>38</v>
      </c>
      <c r="I17" s="3" t="s">
        <v>59</v>
      </c>
      <c r="J17" s="11"/>
      <c r="K17" s="11"/>
      <c r="L17" s="11"/>
      <c r="M17" s="11"/>
      <c r="N17" s="11"/>
      <c r="O17" s="11"/>
      <c r="P17" s="11"/>
      <c r="Q17" s="11"/>
      <c r="R17" s="3" t="s">
        <v>51</v>
      </c>
      <c r="S17" s="11"/>
      <c r="T17" s="11"/>
      <c r="U17" s="11"/>
      <c r="V17" s="11"/>
      <c r="W17" s="11"/>
      <c r="X17" s="11"/>
      <c r="AC17" s="3"/>
      <c r="AD17" s="3"/>
      <c r="AE17" s="3"/>
      <c r="AF17" s="3"/>
      <c r="AG17" s="3" t="s">
        <v>52</v>
      </c>
      <c r="AH17" s="3" t="s">
        <v>86</v>
      </c>
    </row>
    <row r="18">
      <c r="A18" s="3" t="s">
        <v>88</v>
      </c>
      <c r="B18" s="11"/>
      <c r="C18" s="11"/>
      <c r="D18" s="3" t="s">
        <v>89</v>
      </c>
      <c r="E18" s="3" t="s">
        <v>90</v>
      </c>
      <c r="F18" s="3" t="s">
        <v>51</v>
      </c>
      <c r="G18" s="11"/>
      <c r="H18" s="3" t="s">
        <v>38</v>
      </c>
      <c r="I18" s="3" t="s">
        <v>91</v>
      </c>
      <c r="J18" s="11"/>
      <c r="K18" s="3" t="s">
        <v>92</v>
      </c>
      <c r="L18" s="11"/>
      <c r="M18" s="11"/>
      <c r="N18" s="3" t="s">
        <v>92</v>
      </c>
      <c r="O18" s="11"/>
      <c r="P18" s="11"/>
      <c r="Q18" s="11"/>
      <c r="R18" s="3" t="s">
        <v>39</v>
      </c>
      <c r="S18" s="11"/>
      <c r="T18" s="11"/>
      <c r="U18" s="11"/>
      <c r="V18" s="11"/>
      <c r="W18" s="11"/>
      <c r="X18" s="11"/>
      <c r="AC18" s="3"/>
      <c r="AD18" s="3"/>
      <c r="AE18" s="3"/>
      <c r="AF18" s="3"/>
      <c r="AG18" s="3" t="s">
        <v>93</v>
      </c>
      <c r="AH18" s="3" t="s">
        <v>88</v>
      </c>
    </row>
    <row r="19">
      <c r="A19" s="3" t="s">
        <v>94</v>
      </c>
      <c r="B19" s="3">
        <v>1.0</v>
      </c>
      <c r="C19" s="11"/>
      <c r="D19" s="3" t="s">
        <v>63</v>
      </c>
      <c r="E19" s="3" t="s">
        <v>36</v>
      </c>
      <c r="F19" s="3" t="s">
        <v>36</v>
      </c>
      <c r="G19" s="11"/>
      <c r="H19" s="3" t="s">
        <v>38</v>
      </c>
      <c r="I19" s="3" t="s">
        <v>95</v>
      </c>
      <c r="J19" s="11"/>
      <c r="K19" s="3" t="s">
        <v>36</v>
      </c>
      <c r="L19" s="3" t="s">
        <v>74</v>
      </c>
      <c r="M19" s="11"/>
      <c r="N19" s="3" t="s">
        <v>36</v>
      </c>
      <c r="O19" s="11"/>
      <c r="P19" s="11"/>
      <c r="Q19" s="11"/>
      <c r="R19" s="3" t="s">
        <v>39</v>
      </c>
      <c r="S19" s="11"/>
      <c r="T19" s="11"/>
      <c r="U19" s="11"/>
      <c r="V19" s="11"/>
      <c r="W19" s="11"/>
      <c r="X19" s="11"/>
      <c r="AC19" s="3"/>
      <c r="AD19" s="3"/>
      <c r="AE19" s="3"/>
      <c r="AF19" s="3"/>
      <c r="AG19" s="3" t="s">
        <v>96</v>
      </c>
      <c r="AH19" s="3" t="s">
        <v>94</v>
      </c>
    </row>
    <row r="20">
      <c r="A20" s="3" t="s">
        <v>97</v>
      </c>
      <c r="B20" s="11"/>
      <c r="C20" s="11"/>
      <c r="D20" s="3" t="s">
        <v>68</v>
      </c>
      <c r="E20" s="11"/>
      <c r="F20" s="11"/>
      <c r="G20" s="3" t="s">
        <v>98</v>
      </c>
      <c r="H20" s="11"/>
      <c r="I20" s="11"/>
      <c r="J20" s="11"/>
      <c r="K20" s="11"/>
      <c r="L20" s="11"/>
      <c r="M20" s="11"/>
      <c r="N20" s="11"/>
      <c r="O20" s="11"/>
      <c r="P20" s="3" t="s">
        <v>55</v>
      </c>
      <c r="Q20" s="11"/>
      <c r="R20" s="3" t="s">
        <v>51</v>
      </c>
      <c r="S20" s="11"/>
      <c r="T20" s="11"/>
      <c r="U20" s="11"/>
      <c r="V20" s="11"/>
      <c r="W20" s="3">
        <v>1.0</v>
      </c>
      <c r="X20" s="11"/>
      <c r="AC20" s="3"/>
      <c r="AD20" s="3"/>
      <c r="AE20" s="3"/>
      <c r="AF20" s="3"/>
      <c r="AG20" s="3" t="s">
        <v>99</v>
      </c>
      <c r="AH20" s="3" t="s">
        <v>97</v>
      </c>
    </row>
    <row r="21">
      <c r="A21" s="3" t="s">
        <v>100</v>
      </c>
      <c r="B21" s="11"/>
      <c r="C21" s="11"/>
      <c r="D21" s="3" t="s">
        <v>101</v>
      </c>
      <c r="E21" s="11"/>
      <c r="F21" s="11"/>
      <c r="G21" s="3" t="s">
        <v>64</v>
      </c>
      <c r="H21" s="3" t="s">
        <v>38</v>
      </c>
      <c r="I21" s="11"/>
      <c r="J21" s="11"/>
      <c r="K21" s="11"/>
      <c r="L21" s="11"/>
      <c r="M21" s="11"/>
      <c r="N21" s="11"/>
      <c r="O21" s="11"/>
      <c r="P21" s="11"/>
      <c r="Q21" s="11"/>
      <c r="R21" s="3" t="s">
        <v>39</v>
      </c>
      <c r="S21" s="11"/>
      <c r="T21" s="11"/>
      <c r="U21" s="11"/>
      <c r="V21" s="11"/>
      <c r="W21" s="11"/>
      <c r="X21" s="11"/>
      <c r="AC21" s="3"/>
      <c r="AD21" s="3"/>
      <c r="AE21" s="3"/>
      <c r="AF21" s="3"/>
      <c r="AG21" s="3" t="s">
        <v>102</v>
      </c>
      <c r="AH21" s="3" t="s">
        <v>100</v>
      </c>
    </row>
    <row r="22">
      <c r="A22" s="3" t="s">
        <v>103</v>
      </c>
      <c r="B22" s="11"/>
      <c r="C22" s="11"/>
      <c r="D22" s="3" t="s">
        <v>101</v>
      </c>
      <c r="E22" s="11"/>
      <c r="F22" s="11"/>
      <c r="G22" s="3" t="s">
        <v>64</v>
      </c>
      <c r="H22" s="3" t="s">
        <v>38</v>
      </c>
      <c r="I22" s="11"/>
      <c r="J22" s="11"/>
      <c r="K22" s="11"/>
      <c r="L22" s="11"/>
      <c r="M22" s="11"/>
      <c r="N22" s="11"/>
      <c r="O22" s="11"/>
      <c r="P22" s="11"/>
      <c r="Q22" s="11"/>
      <c r="R22" s="3" t="s">
        <v>39</v>
      </c>
      <c r="S22" s="11"/>
      <c r="T22" s="11"/>
      <c r="U22" s="11"/>
      <c r="V22" s="11"/>
      <c r="W22" s="11"/>
      <c r="X22" s="11"/>
      <c r="AC22" s="3"/>
      <c r="AD22" s="3"/>
      <c r="AE22" s="3"/>
      <c r="AF22" s="3"/>
      <c r="AG22" s="3" t="s">
        <v>102</v>
      </c>
      <c r="AH22" s="3" t="s">
        <v>103</v>
      </c>
    </row>
    <row r="23">
      <c r="A23" s="3" t="s">
        <v>104</v>
      </c>
      <c r="B23" s="11"/>
      <c r="C23" s="11"/>
      <c r="D23" s="3" t="s">
        <v>101</v>
      </c>
      <c r="E23" s="11"/>
      <c r="F23" s="11"/>
      <c r="G23" s="3" t="s">
        <v>36</v>
      </c>
      <c r="H23" s="3" t="s">
        <v>38</v>
      </c>
      <c r="I23" s="11"/>
      <c r="J23" s="11"/>
      <c r="K23" s="11"/>
      <c r="L23" s="11"/>
      <c r="M23" s="11"/>
      <c r="N23" s="11"/>
      <c r="O23" s="11"/>
      <c r="P23" s="11"/>
      <c r="Q23" s="11"/>
      <c r="R23" s="3" t="s">
        <v>51</v>
      </c>
      <c r="S23" s="11"/>
      <c r="T23" s="11"/>
      <c r="U23" s="11"/>
      <c r="V23" s="11"/>
      <c r="W23" s="11"/>
      <c r="X23" s="11"/>
      <c r="AC23" s="3"/>
      <c r="AD23" s="3"/>
      <c r="AE23" s="3"/>
      <c r="AF23" s="3"/>
      <c r="AG23" s="3" t="s">
        <v>105</v>
      </c>
      <c r="AH23" s="3" t="s">
        <v>104</v>
      </c>
    </row>
    <row r="24">
      <c r="A24" s="3" t="s">
        <v>106</v>
      </c>
      <c r="B24" s="11"/>
      <c r="C24" s="11"/>
      <c r="D24" s="3" t="s">
        <v>77</v>
      </c>
      <c r="E24" s="3" t="s">
        <v>36</v>
      </c>
      <c r="F24" s="3" t="s">
        <v>36</v>
      </c>
      <c r="G24" s="3" t="s">
        <v>36</v>
      </c>
      <c r="H24" s="3" t="s">
        <v>38</v>
      </c>
      <c r="I24" s="3" t="s">
        <v>91</v>
      </c>
      <c r="J24" s="11"/>
      <c r="K24" s="3" t="s">
        <v>36</v>
      </c>
      <c r="L24" s="11"/>
      <c r="M24" s="11"/>
      <c r="N24" s="3" t="s">
        <v>36</v>
      </c>
      <c r="O24" s="11"/>
      <c r="P24" s="11"/>
      <c r="Q24" s="3" t="s">
        <v>36</v>
      </c>
      <c r="R24" s="3" t="s">
        <v>51</v>
      </c>
      <c r="S24" s="11"/>
      <c r="T24" s="3" t="s">
        <v>46</v>
      </c>
      <c r="U24" s="11"/>
      <c r="V24" s="11"/>
      <c r="W24" s="11"/>
      <c r="X24" s="11"/>
      <c r="AC24" s="3"/>
      <c r="AD24" s="3"/>
      <c r="AE24" s="3"/>
      <c r="AF24" s="3"/>
      <c r="AG24" s="3" t="s">
        <v>107</v>
      </c>
      <c r="AH24" s="3" t="s">
        <v>106</v>
      </c>
    </row>
    <row r="25">
      <c r="A25" s="3" t="s">
        <v>108</v>
      </c>
      <c r="B25" s="11"/>
      <c r="C25" s="11"/>
      <c r="D25" s="3" t="s">
        <v>80</v>
      </c>
      <c r="E25" s="3" t="s">
        <v>36</v>
      </c>
      <c r="F25" s="3" t="s">
        <v>36</v>
      </c>
      <c r="G25" s="3" t="s">
        <v>109</v>
      </c>
      <c r="H25" s="3" t="s">
        <v>38</v>
      </c>
      <c r="I25" s="3" t="s">
        <v>110</v>
      </c>
      <c r="J25" s="11"/>
      <c r="K25" s="3" t="s">
        <v>36</v>
      </c>
      <c r="L25" s="11"/>
      <c r="M25" s="11"/>
      <c r="N25" s="3" t="s">
        <v>36</v>
      </c>
      <c r="O25" s="11"/>
      <c r="P25" s="11"/>
      <c r="Q25" s="3" t="s">
        <v>87</v>
      </c>
      <c r="R25" s="3" t="s">
        <v>51</v>
      </c>
      <c r="S25" s="11"/>
      <c r="T25" s="3" t="s">
        <v>111</v>
      </c>
      <c r="U25" s="11"/>
      <c r="V25" s="11"/>
      <c r="W25" s="11"/>
      <c r="X25" s="11"/>
      <c r="AC25" s="3"/>
      <c r="AD25" s="3"/>
      <c r="AE25" s="3"/>
      <c r="AF25" s="3"/>
      <c r="AG25" s="3" t="s">
        <v>107</v>
      </c>
      <c r="AH25" s="3" t="s">
        <v>108</v>
      </c>
    </row>
    <row r="26">
      <c r="A26" s="3" t="s">
        <v>112</v>
      </c>
      <c r="B26" s="11"/>
      <c r="C26" s="11"/>
      <c r="D26" s="3" t="s">
        <v>113</v>
      </c>
      <c r="E26" s="3" t="s">
        <v>114</v>
      </c>
      <c r="F26" s="3" t="s">
        <v>51</v>
      </c>
      <c r="G26" s="11"/>
      <c r="H26" s="3" t="s">
        <v>38</v>
      </c>
      <c r="I26" s="3" t="s">
        <v>110</v>
      </c>
      <c r="J26" s="11"/>
      <c r="K26" s="3" t="s">
        <v>51</v>
      </c>
      <c r="L26" s="11"/>
      <c r="M26" s="11"/>
      <c r="N26" s="3" t="s">
        <v>51</v>
      </c>
      <c r="O26" s="11"/>
      <c r="P26" s="11"/>
      <c r="Q26" s="11"/>
      <c r="R26" s="3" t="s">
        <v>39</v>
      </c>
      <c r="S26" s="11"/>
      <c r="T26" s="11"/>
      <c r="U26" s="11"/>
      <c r="V26" s="11"/>
      <c r="W26" s="11"/>
      <c r="X26" s="11"/>
      <c r="AC26" s="3"/>
      <c r="AD26" s="3"/>
      <c r="AE26" s="3"/>
      <c r="AF26" s="3"/>
      <c r="AG26" s="3" t="s">
        <v>115</v>
      </c>
      <c r="AH26" s="3" t="s">
        <v>112</v>
      </c>
    </row>
    <row r="27">
      <c r="A27" s="3" t="s">
        <v>116</v>
      </c>
      <c r="B27" s="11"/>
      <c r="C27" s="11"/>
      <c r="D27" s="3" t="s">
        <v>117</v>
      </c>
      <c r="E27" s="3" t="s">
        <v>36</v>
      </c>
      <c r="F27" s="3" t="s">
        <v>36</v>
      </c>
      <c r="G27" s="11"/>
      <c r="H27" s="3" t="s">
        <v>38</v>
      </c>
      <c r="I27" s="3" t="s">
        <v>40</v>
      </c>
      <c r="J27" s="11"/>
      <c r="K27" s="3" t="s">
        <v>36</v>
      </c>
      <c r="L27" s="3" t="s">
        <v>118</v>
      </c>
      <c r="M27" s="11"/>
      <c r="N27" s="3" t="s">
        <v>36</v>
      </c>
      <c r="O27" s="11"/>
      <c r="P27" s="11"/>
      <c r="Q27" s="11"/>
      <c r="R27" s="3" t="s">
        <v>51</v>
      </c>
      <c r="S27" s="11"/>
      <c r="T27" s="3" t="s">
        <v>83</v>
      </c>
      <c r="U27" s="11"/>
      <c r="V27" s="3" t="s">
        <v>119</v>
      </c>
      <c r="W27" s="3"/>
      <c r="X27" s="3"/>
      <c r="AC27" s="3"/>
      <c r="AD27" s="3"/>
      <c r="AE27" s="3"/>
      <c r="AF27" s="3"/>
      <c r="AG27" s="3" t="s">
        <v>75</v>
      </c>
      <c r="AH27" s="3" t="s">
        <v>116</v>
      </c>
    </row>
    <row r="28">
      <c r="A28" s="3" t="s">
        <v>120</v>
      </c>
      <c r="B28" s="11"/>
      <c r="C28" s="11"/>
      <c r="D28" s="11"/>
      <c r="E28" s="3" t="s">
        <v>49</v>
      </c>
      <c r="F28" s="11"/>
      <c r="G28" s="11"/>
      <c r="H28" s="3" t="s">
        <v>38</v>
      </c>
      <c r="I28" s="3" t="s">
        <v>50</v>
      </c>
      <c r="J28" s="11"/>
      <c r="K28" s="11"/>
      <c r="L28" s="11"/>
      <c r="M28" s="11"/>
      <c r="N28" s="11"/>
      <c r="O28" s="11"/>
      <c r="P28" s="11"/>
      <c r="Q28" s="11"/>
      <c r="R28" s="3" t="s">
        <v>51</v>
      </c>
      <c r="S28" s="11"/>
      <c r="T28" s="11"/>
      <c r="U28" s="11"/>
      <c r="V28" s="11"/>
      <c r="W28" s="11"/>
      <c r="X28" s="11"/>
      <c r="AC28" s="3"/>
      <c r="AD28" s="3"/>
      <c r="AE28" s="3"/>
      <c r="AF28" s="3"/>
      <c r="AG28" s="3" t="s">
        <v>61</v>
      </c>
      <c r="AH28" s="3" t="s">
        <v>120</v>
      </c>
    </row>
    <row r="29">
      <c r="A29" s="3" t="s">
        <v>121</v>
      </c>
      <c r="B29" s="11"/>
      <c r="C29" s="11"/>
      <c r="D29" s="11"/>
      <c r="E29" s="3" t="s">
        <v>122</v>
      </c>
      <c r="F29" s="11"/>
      <c r="G29" s="3" t="s">
        <v>36</v>
      </c>
      <c r="H29" s="3" t="s">
        <v>38</v>
      </c>
      <c r="I29" s="11"/>
      <c r="J29" s="11"/>
      <c r="K29" s="11"/>
      <c r="L29" s="11"/>
      <c r="M29" s="11"/>
      <c r="N29" s="11"/>
      <c r="O29" s="11"/>
      <c r="P29" s="11"/>
      <c r="Q29" s="11"/>
      <c r="R29" s="3" t="s">
        <v>51</v>
      </c>
      <c r="S29" s="11"/>
      <c r="T29" s="11"/>
      <c r="U29" s="11"/>
      <c r="V29" s="11"/>
      <c r="W29" s="11"/>
      <c r="X29" s="11"/>
      <c r="AC29" s="3"/>
      <c r="AD29" s="3"/>
      <c r="AE29" s="3"/>
      <c r="AF29" s="3"/>
      <c r="AG29" s="3" t="s">
        <v>52</v>
      </c>
      <c r="AH29" s="3" t="s">
        <v>121</v>
      </c>
    </row>
    <row r="30">
      <c r="A30" s="3" t="s">
        <v>123</v>
      </c>
      <c r="B30" s="11"/>
      <c r="C30" s="11"/>
      <c r="D30" s="11"/>
      <c r="E30" s="3" t="s">
        <v>124</v>
      </c>
      <c r="F30" s="11"/>
      <c r="G30" s="11"/>
      <c r="H30" s="3" t="s">
        <v>38</v>
      </c>
      <c r="I30" s="3" t="s">
        <v>95</v>
      </c>
      <c r="J30" s="11"/>
      <c r="K30" s="11"/>
      <c r="L30" s="11"/>
      <c r="M30" s="11"/>
      <c r="N30" s="11"/>
      <c r="O30" s="11"/>
      <c r="P30" s="11"/>
      <c r="Q30" s="11"/>
      <c r="R30" s="3" t="s">
        <v>39</v>
      </c>
      <c r="S30" s="11"/>
      <c r="T30" s="3" t="s">
        <v>125</v>
      </c>
      <c r="U30" s="11"/>
      <c r="V30" s="11"/>
      <c r="W30" s="11"/>
      <c r="X30" s="11"/>
      <c r="AC30" s="3"/>
      <c r="AD30" s="3"/>
      <c r="AE30" s="3"/>
      <c r="AF30" s="3"/>
      <c r="AG30" s="3" t="s">
        <v>126</v>
      </c>
      <c r="AH30" s="3" t="s">
        <v>123</v>
      </c>
    </row>
    <row r="31">
      <c r="A31" s="3" t="s">
        <v>127</v>
      </c>
      <c r="B31" s="11"/>
      <c r="C31" s="11"/>
      <c r="D31" s="11"/>
      <c r="E31" s="3" t="s">
        <v>128</v>
      </c>
      <c r="F31" s="11"/>
      <c r="G31" s="3" t="s">
        <v>36</v>
      </c>
      <c r="H31" s="3" t="s">
        <v>38</v>
      </c>
      <c r="I31" s="3" t="s">
        <v>129</v>
      </c>
      <c r="J31" s="11"/>
      <c r="K31" s="11"/>
      <c r="L31" s="11"/>
      <c r="M31" s="11"/>
      <c r="N31" s="11"/>
      <c r="O31" s="11"/>
      <c r="P31" s="11"/>
      <c r="Q31" s="11"/>
      <c r="R31" s="3" t="s">
        <v>51</v>
      </c>
      <c r="S31" s="11"/>
      <c r="T31" s="11"/>
      <c r="U31" s="11"/>
      <c r="V31" s="3" t="s">
        <v>130</v>
      </c>
      <c r="W31" s="3"/>
      <c r="X31" s="3"/>
      <c r="AC31" s="3"/>
      <c r="AD31" s="3"/>
      <c r="AE31" s="3"/>
      <c r="AF31" s="3"/>
      <c r="AG31" s="3" t="s">
        <v>131</v>
      </c>
      <c r="AH31" s="3" t="s">
        <v>127</v>
      </c>
    </row>
    <row r="32">
      <c r="A32" s="3" t="s">
        <v>132</v>
      </c>
      <c r="B32" s="11"/>
      <c r="C32" s="11"/>
      <c r="D32" s="11"/>
      <c r="E32" s="3" t="s">
        <v>133</v>
      </c>
      <c r="F32" s="11"/>
      <c r="G32" s="3" t="s">
        <v>36</v>
      </c>
      <c r="H32" s="3" t="s">
        <v>38</v>
      </c>
      <c r="I32" s="3" t="s">
        <v>129</v>
      </c>
      <c r="J32" s="11"/>
      <c r="K32" s="3" t="s">
        <v>36</v>
      </c>
      <c r="L32" s="11"/>
      <c r="M32" s="11"/>
      <c r="N32" s="3" t="s">
        <v>36</v>
      </c>
      <c r="O32" s="11"/>
      <c r="P32" s="11"/>
      <c r="Q32" s="11"/>
      <c r="R32" s="3" t="s">
        <v>51</v>
      </c>
      <c r="S32" s="11"/>
      <c r="T32" s="11"/>
      <c r="U32" s="3" t="s">
        <v>134</v>
      </c>
      <c r="V32" s="3" t="s">
        <v>36</v>
      </c>
      <c r="W32" s="3"/>
      <c r="X32" s="3"/>
      <c r="AC32" s="3"/>
      <c r="AD32" s="3"/>
      <c r="AE32" s="3"/>
      <c r="AF32" s="3"/>
      <c r="AG32" s="3" t="s">
        <v>135</v>
      </c>
      <c r="AH32" s="3" t="s">
        <v>132</v>
      </c>
    </row>
    <row r="33">
      <c r="A33" s="3" t="s">
        <v>136</v>
      </c>
      <c r="B33" s="11"/>
      <c r="C33" s="11"/>
      <c r="D33" s="11"/>
      <c r="E33" s="3" t="s">
        <v>137</v>
      </c>
      <c r="F33" s="11"/>
      <c r="G33" s="3" t="s">
        <v>138</v>
      </c>
      <c r="H33" s="3" t="s">
        <v>38</v>
      </c>
      <c r="I33" s="3" t="s">
        <v>139</v>
      </c>
      <c r="J33" s="11"/>
      <c r="K33" s="3" t="s">
        <v>140</v>
      </c>
      <c r="L33" s="11"/>
      <c r="M33" s="11"/>
      <c r="N33" s="11"/>
      <c r="O33" s="11"/>
      <c r="P33" s="11"/>
      <c r="Q33" s="11"/>
      <c r="R33" s="3" t="s">
        <v>39</v>
      </c>
      <c r="S33" s="11"/>
      <c r="T33" s="11"/>
      <c r="U33" s="11"/>
      <c r="V33" s="3" t="s">
        <v>141</v>
      </c>
      <c r="W33" s="3"/>
      <c r="X33" s="3"/>
      <c r="AC33" s="3"/>
      <c r="AD33" s="3"/>
      <c r="AE33" s="3"/>
      <c r="AF33" s="3"/>
      <c r="AG33" s="3" t="s">
        <v>142</v>
      </c>
      <c r="AH33" s="3" t="s">
        <v>136</v>
      </c>
    </row>
    <row r="34">
      <c r="A34" s="3" t="s">
        <v>143</v>
      </c>
      <c r="B34" s="11"/>
      <c r="C34" s="11"/>
      <c r="D34" s="11"/>
      <c r="E34" s="3" t="s">
        <v>144</v>
      </c>
      <c r="F34" s="11"/>
      <c r="G34" s="11"/>
      <c r="H34" s="3" t="s">
        <v>38</v>
      </c>
      <c r="I34" s="3" t="s">
        <v>139</v>
      </c>
      <c r="J34" s="11"/>
      <c r="K34" s="11"/>
      <c r="L34" s="11"/>
      <c r="M34" s="11"/>
      <c r="N34" s="11"/>
      <c r="O34" s="11"/>
      <c r="P34" s="11"/>
      <c r="Q34" s="11"/>
      <c r="R34" s="3" t="s">
        <v>51</v>
      </c>
      <c r="S34" s="11"/>
      <c r="T34" s="11"/>
      <c r="U34" s="11"/>
      <c r="V34" s="3" t="s">
        <v>145</v>
      </c>
      <c r="W34" s="3"/>
      <c r="X34" s="3"/>
      <c r="AC34" s="3"/>
      <c r="AD34" s="3"/>
      <c r="AE34" s="3"/>
      <c r="AF34" s="3"/>
      <c r="AG34" s="3" t="s">
        <v>131</v>
      </c>
      <c r="AH34" s="3" t="s">
        <v>143</v>
      </c>
    </row>
    <row r="35">
      <c r="A35" s="3" t="s">
        <v>146</v>
      </c>
      <c r="B35" s="11"/>
      <c r="C35" s="11"/>
      <c r="D35" s="11"/>
      <c r="E35" s="3" t="s">
        <v>45</v>
      </c>
      <c r="F35" s="11"/>
      <c r="G35" s="11"/>
      <c r="H35" s="3" t="s">
        <v>38</v>
      </c>
      <c r="I35" s="3" t="s">
        <v>40</v>
      </c>
      <c r="J35" s="11"/>
      <c r="K35" s="11"/>
      <c r="L35" s="11"/>
      <c r="M35" s="11"/>
      <c r="N35" s="11"/>
      <c r="O35" s="11"/>
      <c r="P35" s="11"/>
      <c r="Q35" s="11"/>
      <c r="R35" s="3" t="s">
        <v>51</v>
      </c>
      <c r="S35" s="11"/>
      <c r="T35" s="3" t="s">
        <v>125</v>
      </c>
      <c r="U35" s="3" t="s">
        <v>36</v>
      </c>
      <c r="V35" s="11"/>
      <c r="W35" s="11"/>
      <c r="X35" s="11"/>
      <c r="AC35" s="3"/>
      <c r="AD35" s="3"/>
      <c r="AE35" s="3"/>
      <c r="AF35" s="3"/>
      <c r="AG35" s="3" t="s">
        <v>131</v>
      </c>
      <c r="AH35" s="3" t="s">
        <v>146</v>
      </c>
    </row>
    <row r="36">
      <c r="A36" s="3" t="s">
        <v>147</v>
      </c>
      <c r="B36" s="11"/>
      <c r="C36" s="11"/>
      <c r="D36" s="11"/>
      <c r="E36" s="11"/>
      <c r="F36" s="3" t="s">
        <v>36</v>
      </c>
      <c r="G36" s="11"/>
      <c r="H36" s="3" t="s">
        <v>38</v>
      </c>
      <c r="I36" s="3" t="s">
        <v>40</v>
      </c>
      <c r="J36" s="11"/>
      <c r="K36" s="3" t="s">
        <v>36</v>
      </c>
      <c r="L36" s="3" t="s">
        <v>118</v>
      </c>
      <c r="M36" s="11"/>
      <c r="N36" s="3" t="s">
        <v>36</v>
      </c>
      <c r="O36" s="3" t="s">
        <v>91</v>
      </c>
      <c r="P36" s="11"/>
      <c r="Q36" s="11"/>
      <c r="R36" s="3" t="s">
        <v>51</v>
      </c>
      <c r="S36" s="11"/>
      <c r="T36" s="3" t="s">
        <v>148</v>
      </c>
      <c r="U36" s="11"/>
      <c r="V36" s="11"/>
      <c r="W36" s="11"/>
      <c r="X36" s="11"/>
      <c r="AC36" s="3"/>
      <c r="AD36" s="3"/>
      <c r="AE36" s="3"/>
      <c r="AF36" s="3"/>
      <c r="AG36" s="3" t="s">
        <v>131</v>
      </c>
      <c r="AH36" s="3" t="s">
        <v>147</v>
      </c>
    </row>
    <row r="37">
      <c r="A37" s="3" t="s">
        <v>149</v>
      </c>
      <c r="B37" s="11"/>
      <c r="C37" s="11"/>
      <c r="D37" s="11"/>
      <c r="E37" s="11"/>
      <c r="F37" s="11"/>
      <c r="G37" s="3" t="s">
        <v>36</v>
      </c>
      <c r="H37" s="3" t="s">
        <v>38</v>
      </c>
      <c r="I37" s="3" t="s">
        <v>36</v>
      </c>
      <c r="J37" s="3" t="s">
        <v>101</v>
      </c>
      <c r="K37" s="3" t="s">
        <v>36</v>
      </c>
      <c r="L37" s="3" t="s">
        <v>118</v>
      </c>
      <c r="M37" s="11"/>
      <c r="N37" s="3" t="s">
        <v>36</v>
      </c>
      <c r="O37" s="3" t="s">
        <v>150</v>
      </c>
      <c r="P37" s="3" t="s">
        <v>151</v>
      </c>
      <c r="Q37" s="11"/>
      <c r="R37" s="3" t="s">
        <v>51</v>
      </c>
      <c r="S37" s="11"/>
      <c r="T37" s="3" t="s">
        <v>152</v>
      </c>
      <c r="U37" s="11"/>
      <c r="V37" s="11"/>
      <c r="W37" s="3" t="s">
        <v>36</v>
      </c>
      <c r="X37" s="11"/>
      <c r="AC37" s="3"/>
      <c r="AD37" s="3"/>
      <c r="AE37" s="3"/>
      <c r="AF37" s="3"/>
      <c r="AG37" s="3" t="s">
        <v>153</v>
      </c>
      <c r="AH37" s="3" t="s">
        <v>149</v>
      </c>
    </row>
    <row r="38">
      <c r="A38" s="3" t="s">
        <v>154</v>
      </c>
      <c r="B38" s="11"/>
      <c r="C38" s="11"/>
      <c r="D38" s="11"/>
      <c r="E38" s="11"/>
      <c r="F38" s="11"/>
      <c r="G38" s="3" t="s">
        <v>36</v>
      </c>
      <c r="H38" s="11"/>
      <c r="I38" s="3" t="s">
        <v>129</v>
      </c>
      <c r="J38" s="11"/>
      <c r="K38" s="11"/>
      <c r="L38" s="11"/>
      <c r="M38" s="11"/>
      <c r="N38" s="11"/>
      <c r="O38" s="11"/>
      <c r="P38" s="11"/>
      <c r="Q38" s="11"/>
      <c r="R38" s="3" t="s">
        <v>51</v>
      </c>
      <c r="S38" s="11"/>
      <c r="T38" s="11"/>
      <c r="U38" s="11"/>
      <c r="V38" s="11"/>
      <c r="W38" s="11"/>
      <c r="X38" s="11"/>
      <c r="AC38" s="3"/>
      <c r="AD38" s="3"/>
      <c r="AE38" s="3"/>
      <c r="AF38" s="3"/>
      <c r="AG38" s="3" t="s">
        <v>52</v>
      </c>
      <c r="AH38" s="3" t="s">
        <v>154</v>
      </c>
    </row>
    <row r="39">
      <c r="A39" s="3" t="s">
        <v>155</v>
      </c>
      <c r="B39" s="3">
        <v>1.0</v>
      </c>
      <c r="C39" s="11"/>
      <c r="D39" s="11"/>
      <c r="E39" s="11"/>
      <c r="F39" s="11"/>
      <c r="G39" s="3" t="s">
        <v>36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3" t="s">
        <v>39</v>
      </c>
      <c r="S39" s="11"/>
      <c r="T39" s="11"/>
      <c r="U39" s="11"/>
      <c r="V39" s="11"/>
      <c r="W39" s="11"/>
      <c r="X39" s="11"/>
      <c r="AC39" s="3"/>
      <c r="AD39" s="3"/>
      <c r="AE39" s="3"/>
      <c r="AF39" s="3"/>
      <c r="AG39" s="3" t="s">
        <v>156</v>
      </c>
      <c r="AH39" s="3" t="s">
        <v>155</v>
      </c>
    </row>
    <row r="40">
      <c r="A40" s="3" t="s">
        <v>157</v>
      </c>
      <c r="B40" s="11"/>
      <c r="C40" s="11"/>
      <c r="D40" s="11"/>
      <c r="E40" s="11"/>
      <c r="F40" s="11"/>
      <c r="G40" s="3" t="s">
        <v>36</v>
      </c>
      <c r="H40" s="11"/>
      <c r="I40" s="3" t="s">
        <v>158</v>
      </c>
      <c r="J40" s="11"/>
      <c r="K40" s="3" t="s">
        <v>36</v>
      </c>
      <c r="L40" s="11"/>
      <c r="M40" s="11"/>
      <c r="N40" s="3" t="s">
        <v>36</v>
      </c>
      <c r="O40" s="11"/>
      <c r="P40" s="11"/>
      <c r="Q40" s="11"/>
      <c r="R40" s="3" t="s">
        <v>51</v>
      </c>
      <c r="S40" s="11"/>
      <c r="T40" s="11"/>
      <c r="U40" s="11"/>
      <c r="V40" s="11"/>
      <c r="W40" s="11"/>
      <c r="X40" s="11"/>
      <c r="AC40" s="3"/>
      <c r="AD40" s="3"/>
      <c r="AE40" s="3"/>
      <c r="AF40" s="3"/>
      <c r="AG40" s="3" t="s">
        <v>107</v>
      </c>
      <c r="AH40" s="3" t="s">
        <v>157</v>
      </c>
    </row>
    <row r="41">
      <c r="A41" s="3" t="s">
        <v>159</v>
      </c>
      <c r="B41" s="11"/>
      <c r="C41" s="11"/>
      <c r="D41" s="11"/>
      <c r="E41" s="11"/>
      <c r="F41" s="11"/>
      <c r="G41" s="3" t="s">
        <v>36</v>
      </c>
      <c r="H41" s="11"/>
      <c r="I41" s="3" t="s">
        <v>158</v>
      </c>
      <c r="J41" s="11"/>
      <c r="K41" s="11"/>
      <c r="L41" s="11"/>
      <c r="M41" s="11"/>
      <c r="N41" s="11"/>
      <c r="O41" s="11"/>
      <c r="P41" s="11"/>
      <c r="Q41" s="11"/>
      <c r="R41" s="3" t="s">
        <v>51</v>
      </c>
      <c r="S41" s="11"/>
      <c r="T41" s="11"/>
      <c r="U41" s="11"/>
      <c r="V41" s="11"/>
      <c r="W41" s="11"/>
      <c r="X41" s="11"/>
      <c r="AC41" s="3"/>
      <c r="AD41" s="3"/>
      <c r="AE41" s="3"/>
      <c r="AF41" s="3"/>
      <c r="AG41" s="3" t="s">
        <v>107</v>
      </c>
      <c r="AH41" s="3" t="s">
        <v>159</v>
      </c>
    </row>
    <row r="42">
      <c r="A42" s="11"/>
      <c r="B42" s="3" t="s">
        <v>6</v>
      </c>
      <c r="C42" s="3" t="s">
        <v>7</v>
      </c>
      <c r="D42" s="3" t="s">
        <v>8</v>
      </c>
      <c r="E42" s="3" t="s">
        <v>9</v>
      </c>
      <c r="F42" s="3" t="s">
        <v>10</v>
      </c>
      <c r="G42" s="3" t="s">
        <v>11</v>
      </c>
      <c r="H42" s="3" t="s">
        <v>12</v>
      </c>
      <c r="I42" s="3" t="s">
        <v>13</v>
      </c>
      <c r="J42" s="3" t="s">
        <v>14</v>
      </c>
      <c r="K42" s="3" t="s">
        <v>15</v>
      </c>
      <c r="L42" s="3" t="s">
        <v>16</v>
      </c>
      <c r="M42" s="3" t="s">
        <v>17</v>
      </c>
      <c r="N42" s="3" t="s">
        <v>18</v>
      </c>
      <c r="O42" s="3" t="s">
        <v>19</v>
      </c>
      <c r="P42" s="3" t="s">
        <v>160</v>
      </c>
      <c r="Q42" s="3" t="s">
        <v>21</v>
      </c>
      <c r="R42" s="3" t="s">
        <v>22</v>
      </c>
      <c r="S42" s="3" t="s">
        <v>23</v>
      </c>
      <c r="T42" s="3" t="s">
        <v>24</v>
      </c>
      <c r="U42" s="3" t="s">
        <v>25</v>
      </c>
      <c r="V42" s="3" t="s">
        <v>26</v>
      </c>
      <c r="W42" s="3"/>
      <c r="X42" s="3"/>
      <c r="AC42" s="3"/>
      <c r="AD42" s="3"/>
      <c r="AE42" s="3"/>
      <c r="AF42" s="3"/>
      <c r="AG42" s="3" t="s">
        <v>34</v>
      </c>
      <c r="AH42" s="11"/>
    </row>
    <row r="43">
      <c r="A43" s="3" t="s">
        <v>161</v>
      </c>
      <c r="B43" s="11"/>
      <c r="C43" s="11"/>
      <c r="D43" s="11"/>
      <c r="E43" s="11"/>
      <c r="F43" s="11"/>
      <c r="G43" s="11"/>
      <c r="H43" s="11"/>
      <c r="I43" s="11"/>
      <c r="J43" s="3" t="s">
        <v>58</v>
      </c>
      <c r="K43" s="11"/>
      <c r="L43" s="11"/>
      <c r="M43" s="11"/>
      <c r="N43" s="11"/>
      <c r="O43" s="3" t="s">
        <v>50</v>
      </c>
      <c r="P43" s="11"/>
      <c r="Q43" s="11"/>
      <c r="R43" s="3" t="s">
        <v>51</v>
      </c>
      <c r="S43" s="11"/>
      <c r="T43" s="11"/>
      <c r="U43" s="11"/>
      <c r="V43" s="11"/>
      <c r="W43" s="11"/>
      <c r="X43" s="11"/>
      <c r="AC43" s="3"/>
      <c r="AD43" s="3"/>
      <c r="AE43" s="3"/>
      <c r="AF43" s="3"/>
      <c r="AG43" s="3" t="s">
        <v>162</v>
      </c>
      <c r="AH43" s="3" t="s">
        <v>161</v>
      </c>
    </row>
    <row r="44">
      <c r="A44" s="3" t="s">
        <v>163</v>
      </c>
      <c r="B44" s="11"/>
      <c r="C44" s="11"/>
      <c r="D44" s="11"/>
      <c r="E44" s="11"/>
      <c r="F44" s="11"/>
      <c r="G44" s="11"/>
      <c r="H44" s="11"/>
      <c r="I44" s="11"/>
      <c r="J44" s="3" t="s">
        <v>87</v>
      </c>
      <c r="K44" s="11"/>
      <c r="L44" s="11"/>
      <c r="M44" s="11"/>
      <c r="N44" s="11"/>
      <c r="O44" s="3" t="s">
        <v>50</v>
      </c>
      <c r="P44" s="11"/>
      <c r="Q44" s="11"/>
      <c r="R44" s="3" t="s">
        <v>51</v>
      </c>
      <c r="S44" s="11"/>
      <c r="T44" s="11"/>
      <c r="U44" s="11"/>
      <c r="V44" s="11"/>
      <c r="W44" s="11"/>
      <c r="X44" s="11"/>
      <c r="AC44" s="3"/>
      <c r="AD44" s="3"/>
      <c r="AE44" s="3"/>
      <c r="AF44" s="3"/>
      <c r="AG44" s="3" t="s">
        <v>162</v>
      </c>
      <c r="AH44" s="3" t="s">
        <v>163</v>
      </c>
    </row>
    <row r="45">
      <c r="A45" s="3" t="s">
        <v>164</v>
      </c>
      <c r="B45" s="11"/>
      <c r="C45" s="11"/>
      <c r="D45" s="11"/>
      <c r="E45" s="11"/>
      <c r="F45" s="11"/>
      <c r="G45" s="11"/>
      <c r="H45" s="11"/>
      <c r="I45" s="11"/>
      <c r="J45" s="3" t="s">
        <v>122</v>
      </c>
      <c r="K45" s="11"/>
      <c r="L45" s="11"/>
      <c r="M45" s="11"/>
      <c r="N45" s="11"/>
      <c r="O45" s="3" t="s">
        <v>59</v>
      </c>
      <c r="P45" s="11"/>
      <c r="Q45" s="11"/>
      <c r="R45" s="3" t="s">
        <v>51</v>
      </c>
      <c r="S45" s="11"/>
      <c r="T45" s="11"/>
      <c r="U45" s="11"/>
      <c r="V45" s="11"/>
      <c r="W45" s="11"/>
      <c r="X45" s="11"/>
      <c r="AC45" s="3"/>
      <c r="AD45" s="3"/>
      <c r="AE45" s="3"/>
      <c r="AF45" s="3"/>
      <c r="AG45" s="3" t="s">
        <v>162</v>
      </c>
      <c r="AH45" s="3" t="s">
        <v>164</v>
      </c>
    </row>
    <row r="46">
      <c r="A46" s="3" t="s">
        <v>165</v>
      </c>
      <c r="B46" s="11"/>
      <c r="C46" s="11"/>
      <c r="D46" s="11"/>
      <c r="E46" s="11"/>
      <c r="F46" s="11"/>
      <c r="G46" s="11"/>
      <c r="H46" s="11"/>
      <c r="I46" s="11"/>
      <c r="J46" s="3" t="s">
        <v>63</v>
      </c>
      <c r="K46" s="11"/>
      <c r="L46" s="3" t="s">
        <v>74</v>
      </c>
      <c r="M46" s="11"/>
      <c r="N46" s="11"/>
      <c r="O46" s="3" t="s">
        <v>129</v>
      </c>
      <c r="P46" s="11"/>
      <c r="Q46" s="11"/>
      <c r="R46" s="3" t="s">
        <v>36</v>
      </c>
      <c r="S46" s="11"/>
      <c r="T46" s="3" t="s">
        <v>152</v>
      </c>
      <c r="U46" s="3" t="s">
        <v>36</v>
      </c>
      <c r="V46" s="11"/>
      <c r="W46" s="11"/>
      <c r="X46" s="3" t="s">
        <v>36</v>
      </c>
      <c r="AC46" s="11"/>
      <c r="AD46" s="11"/>
      <c r="AE46" s="11"/>
      <c r="AF46" s="11"/>
      <c r="AG46" s="11"/>
      <c r="AH46" s="3" t="s">
        <v>165</v>
      </c>
    </row>
    <row r="47">
      <c r="A47" s="3" t="s">
        <v>166</v>
      </c>
      <c r="B47" s="11"/>
      <c r="C47" s="11"/>
      <c r="D47" s="11"/>
      <c r="E47" s="11"/>
      <c r="F47" s="11"/>
      <c r="G47" s="11"/>
      <c r="H47" s="11"/>
      <c r="I47" s="11"/>
      <c r="J47" s="3" t="s">
        <v>68</v>
      </c>
      <c r="K47" s="11"/>
      <c r="L47" s="11"/>
      <c r="M47" s="11"/>
      <c r="N47" s="11"/>
      <c r="O47" s="3" t="s">
        <v>129</v>
      </c>
      <c r="P47" s="11"/>
      <c r="Q47" s="11"/>
      <c r="R47" s="11"/>
      <c r="S47" s="11"/>
      <c r="T47" s="3" t="s">
        <v>152</v>
      </c>
      <c r="U47" s="11"/>
      <c r="V47" s="11"/>
      <c r="W47" s="11"/>
      <c r="X47" s="11"/>
      <c r="AC47" s="11"/>
      <c r="AD47" s="11"/>
      <c r="AE47" s="11"/>
      <c r="AF47" s="11"/>
      <c r="AG47" s="11"/>
      <c r="AH47" s="3" t="s">
        <v>166</v>
      </c>
    </row>
    <row r="48">
      <c r="A48" s="3" t="s">
        <v>167</v>
      </c>
      <c r="B48" s="11"/>
      <c r="C48" s="11"/>
      <c r="D48" s="11"/>
      <c r="E48" s="11"/>
      <c r="F48" s="11"/>
      <c r="G48" s="11"/>
      <c r="H48" s="11"/>
      <c r="I48" s="11"/>
      <c r="J48" s="3" t="s">
        <v>168</v>
      </c>
      <c r="K48" s="11"/>
      <c r="L48" s="3" t="s">
        <v>169</v>
      </c>
      <c r="M48" s="3" t="s">
        <v>36</v>
      </c>
      <c r="N48" s="3" t="s">
        <v>36</v>
      </c>
      <c r="O48" s="3" t="s">
        <v>40</v>
      </c>
      <c r="P48" s="11"/>
      <c r="Q48" s="3" t="s">
        <v>36</v>
      </c>
      <c r="R48" s="3" t="s">
        <v>51</v>
      </c>
      <c r="S48" s="11"/>
      <c r="T48" s="3" t="s">
        <v>46</v>
      </c>
      <c r="U48" s="11"/>
      <c r="V48" s="3" t="s">
        <v>36</v>
      </c>
      <c r="W48" s="3"/>
      <c r="X48" s="3"/>
      <c r="AC48" s="3"/>
      <c r="AD48" s="3"/>
      <c r="AE48" s="3"/>
      <c r="AF48" s="3"/>
      <c r="AG48" s="3" t="s">
        <v>162</v>
      </c>
      <c r="AH48" s="3" t="s">
        <v>167</v>
      </c>
    </row>
    <row r="49">
      <c r="A49" s="3" t="s">
        <v>170</v>
      </c>
      <c r="B49" s="11"/>
      <c r="C49" s="11"/>
      <c r="D49" s="11"/>
      <c r="E49" s="11"/>
      <c r="F49" s="11"/>
      <c r="G49" s="11"/>
      <c r="H49" s="11"/>
      <c r="I49" s="11"/>
      <c r="J49" s="3" t="s">
        <v>171</v>
      </c>
      <c r="K49" s="11"/>
      <c r="L49" s="11"/>
      <c r="M49" s="3" t="s">
        <v>172</v>
      </c>
      <c r="N49" s="3" t="s">
        <v>51</v>
      </c>
      <c r="O49" s="3" t="s">
        <v>173</v>
      </c>
      <c r="P49" s="11"/>
      <c r="Q49" s="11"/>
      <c r="R49" s="3" t="s">
        <v>39</v>
      </c>
      <c r="S49" s="11"/>
      <c r="T49" s="3" t="s">
        <v>148</v>
      </c>
      <c r="U49" s="11"/>
      <c r="V49" s="3" t="s">
        <v>174</v>
      </c>
      <c r="W49" s="3"/>
      <c r="X49" s="3"/>
      <c r="AC49" s="3"/>
      <c r="AD49" s="3"/>
      <c r="AE49" s="3"/>
      <c r="AF49" s="3"/>
      <c r="AG49" s="3" t="s">
        <v>175</v>
      </c>
      <c r="AH49" s="3" t="s">
        <v>170</v>
      </c>
    </row>
    <row r="50">
      <c r="A50" s="3" t="s">
        <v>176</v>
      </c>
      <c r="B50" s="11"/>
      <c r="C50" s="11"/>
      <c r="D50" s="11"/>
      <c r="E50" s="11"/>
      <c r="F50" s="11"/>
      <c r="G50" s="11"/>
      <c r="H50" s="11"/>
      <c r="I50" s="11"/>
      <c r="J50" s="3" t="s">
        <v>45</v>
      </c>
      <c r="K50" s="11"/>
      <c r="L50" s="3" t="s">
        <v>177</v>
      </c>
      <c r="M50" s="3" t="s">
        <v>178</v>
      </c>
      <c r="N50" s="3" t="s">
        <v>36</v>
      </c>
      <c r="O50" s="3" t="s">
        <v>173</v>
      </c>
      <c r="P50" s="11"/>
      <c r="Q50" s="3" t="s">
        <v>179</v>
      </c>
      <c r="R50" s="3" t="s">
        <v>51</v>
      </c>
      <c r="S50" s="11"/>
      <c r="T50" s="3" t="s">
        <v>148</v>
      </c>
      <c r="U50" s="11"/>
      <c r="V50" s="3" t="s">
        <v>180</v>
      </c>
      <c r="W50" s="3"/>
      <c r="X50" s="3"/>
      <c r="AC50" s="3"/>
      <c r="AD50" s="3"/>
      <c r="AE50" s="3"/>
      <c r="AF50" s="3"/>
      <c r="AG50" s="3" t="s">
        <v>181</v>
      </c>
      <c r="AH50" s="3" t="s">
        <v>176</v>
      </c>
    </row>
    <row r="51">
      <c r="A51" s="3" t="s">
        <v>182</v>
      </c>
      <c r="B51" s="11"/>
      <c r="C51" s="11"/>
      <c r="D51" s="11"/>
      <c r="E51" s="11"/>
      <c r="F51" s="11"/>
      <c r="G51" s="11"/>
      <c r="H51" s="11"/>
      <c r="I51" s="11"/>
      <c r="J51" s="11"/>
      <c r="K51" s="3" t="s">
        <v>36</v>
      </c>
      <c r="L51" s="11"/>
      <c r="M51" s="11"/>
      <c r="N51" s="3" t="s">
        <v>36</v>
      </c>
      <c r="O51" s="3" t="s">
        <v>158</v>
      </c>
      <c r="P51" s="11"/>
      <c r="Q51" s="11"/>
      <c r="R51" s="3" t="s">
        <v>51</v>
      </c>
      <c r="S51" s="11"/>
      <c r="T51" s="11"/>
      <c r="U51" s="11"/>
      <c r="V51" s="11"/>
      <c r="W51" s="11"/>
      <c r="X51" s="11"/>
      <c r="AC51" s="3"/>
      <c r="AD51" s="3"/>
      <c r="AE51" s="3"/>
      <c r="AF51" s="3"/>
      <c r="AG51" s="3" t="s">
        <v>183</v>
      </c>
      <c r="AH51" s="3" t="s">
        <v>182</v>
      </c>
    </row>
    <row r="52">
      <c r="A52" s="3" t="s">
        <v>184</v>
      </c>
      <c r="B52" s="11"/>
      <c r="C52" s="11"/>
      <c r="D52" s="11"/>
      <c r="E52" s="11"/>
      <c r="F52" s="11"/>
      <c r="G52" s="11"/>
      <c r="H52" s="11"/>
      <c r="I52" s="11"/>
      <c r="J52" s="11"/>
      <c r="K52" s="3" t="s">
        <v>36</v>
      </c>
      <c r="L52" s="11"/>
      <c r="M52" s="11"/>
      <c r="N52" s="3" t="s">
        <v>36</v>
      </c>
      <c r="O52" s="3" t="s">
        <v>158</v>
      </c>
      <c r="P52" s="11"/>
      <c r="Q52" s="11"/>
      <c r="R52" s="3" t="s">
        <v>51</v>
      </c>
      <c r="S52" s="11"/>
      <c r="T52" s="3" t="s">
        <v>83</v>
      </c>
      <c r="U52" s="11"/>
      <c r="V52" s="11"/>
      <c r="W52" s="11"/>
      <c r="X52" s="11"/>
      <c r="AC52" s="3"/>
      <c r="AD52" s="3"/>
      <c r="AE52" s="3"/>
      <c r="AF52" s="3"/>
      <c r="AG52" s="3" t="s">
        <v>183</v>
      </c>
      <c r="AH52" s="3" t="s">
        <v>184</v>
      </c>
    </row>
    <row r="53">
      <c r="A53" s="3" t="s">
        <v>185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3" t="s">
        <v>58</v>
      </c>
      <c r="M53" s="11"/>
      <c r="N53" s="11"/>
      <c r="O53" s="3" t="s">
        <v>95</v>
      </c>
      <c r="P53" s="11"/>
      <c r="Q53" s="11"/>
      <c r="R53" s="11"/>
      <c r="S53" s="11"/>
      <c r="T53" s="11"/>
      <c r="U53" s="11"/>
      <c r="V53" s="11"/>
      <c r="W53" s="11"/>
      <c r="X53" s="11"/>
      <c r="AC53" s="11"/>
      <c r="AD53" s="11"/>
      <c r="AE53" s="11"/>
      <c r="AF53" s="11"/>
      <c r="AG53" s="11"/>
      <c r="AH53" s="3" t="s">
        <v>185</v>
      </c>
    </row>
    <row r="54">
      <c r="A54" s="3" t="s">
        <v>186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3" t="s">
        <v>87</v>
      </c>
      <c r="M54" s="11"/>
      <c r="N54" s="11"/>
      <c r="O54" s="3" t="s">
        <v>95</v>
      </c>
      <c r="P54" s="11"/>
      <c r="Q54" s="11"/>
      <c r="R54" s="3" t="s">
        <v>51</v>
      </c>
      <c r="S54" s="11"/>
      <c r="T54" s="11"/>
      <c r="U54" s="11"/>
      <c r="V54" s="11"/>
      <c r="W54" s="11"/>
      <c r="X54" s="11"/>
      <c r="AC54" s="3"/>
      <c r="AD54" s="3"/>
      <c r="AE54" s="3"/>
      <c r="AF54" s="3"/>
      <c r="AG54" s="3" t="s">
        <v>187</v>
      </c>
      <c r="AH54" s="3" t="s">
        <v>186</v>
      </c>
    </row>
    <row r="55">
      <c r="A55" s="3" t="s">
        <v>188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" t="s">
        <v>122</v>
      </c>
      <c r="M55" s="11"/>
      <c r="N55" s="11"/>
      <c r="O55" s="3" t="s">
        <v>59</v>
      </c>
      <c r="P55" s="11"/>
      <c r="Q55" s="11"/>
      <c r="R55" s="3" t="s">
        <v>51</v>
      </c>
      <c r="S55" s="11"/>
      <c r="T55" s="11"/>
      <c r="U55" s="11"/>
      <c r="V55" s="11"/>
      <c r="W55" s="11"/>
      <c r="X55" s="11"/>
      <c r="AC55" s="3"/>
      <c r="AD55" s="3"/>
      <c r="AE55" s="3"/>
      <c r="AF55" s="3"/>
      <c r="AG55" s="3" t="s">
        <v>189</v>
      </c>
      <c r="AH55" s="3" t="s">
        <v>188</v>
      </c>
    </row>
    <row r="56">
      <c r="A56" s="3" t="s">
        <v>190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" t="s">
        <v>63</v>
      </c>
      <c r="M56" s="11"/>
      <c r="N56" s="11"/>
      <c r="O56" s="3" t="s">
        <v>91</v>
      </c>
      <c r="P56" s="11"/>
      <c r="Q56" s="11"/>
      <c r="R56" s="3" t="s">
        <v>191</v>
      </c>
      <c r="S56" s="11"/>
      <c r="T56" s="11"/>
      <c r="U56" s="11"/>
      <c r="V56" s="11"/>
      <c r="W56" s="11"/>
      <c r="X56" s="11"/>
      <c r="AC56" s="3"/>
      <c r="AD56" s="3"/>
      <c r="AE56" s="3"/>
      <c r="AF56" s="3"/>
      <c r="AG56" s="3" t="s">
        <v>131</v>
      </c>
      <c r="AH56" s="3" t="s">
        <v>190</v>
      </c>
    </row>
    <row r="57">
      <c r="A57" s="3" t="s">
        <v>192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" t="s">
        <v>101</v>
      </c>
      <c r="M57" s="11"/>
      <c r="N57" s="11"/>
      <c r="O57" s="3" t="s">
        <v>139</v>
      </c>
      <c r="P57" s="11"/>
      <c r="Q57" s="11"/>
      <c r="R57" s="3" t="s">
        <v>51</v>
      </c>
      <c r="S57" s="11"/>
      <c r="T57" s="11"/>
      <c r="U57" s="3" t="s">
        <v>193</v>
      </c>
      <c r="V57" s="11"/>
      <c r="W57" s="11"/>
      <c r="X57" s="11"/>
      <c r="AC57" s="3"/>
      <c r="AD57" s="3"/>
      <c r="AE57" s="3"/>
      <c r="AF57" s="3"/>
      <c r="AG57" s="3" t="s">
        <v>189</v>
      </c>
      <c r="AH57" s="3" t="s">
        <v>192</v>
      </c>
    </row>
    <row r="58">
      <c r="A58" s="3" t="s">
        <v>194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3" t="s">
        <v>195</v>
      </c>
      <c r="M58" s="11"/>
      <c r="N58" s="11"/>
      <c r="O58" s="3" t="s">
        <v>110</v>
      </c>
      <c r="P58" s="11"/>
      <c r="Q58" s="11"/>
      <c r="R58" s="3" t="s">
        <v>51</v>
      </c>
      <c r="S58" s="11"/>
      <c r="T58" s="11"/>
      <c r="U58" s="11"/>
      <c r="V58" s="11"/>
      <c r="W58" s="11"/>
      <c r="X58" s="11"/>
      <c r="AC58" s="3"/>
      <c r="AD58" s="3"/>
      <c r="AE58" s="3"/>
      <c r="AF58" s="3"/>
      <c r="AG58" s="3" t="s">
        <v>189</v>
      </c>
      <c r="AH58" s="3" t="s">
        <v>194</v>
      </c>
    </row>
    <row r="59">
      <c r="A59" s="3" t="s">
        <v>196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3" t="s">
        <v>80</v>
      </c>
      <c r="M59" s="11"/>
      <c r="N59" s="3" t="s">
        <v>36</v>
      </c>
      <c r="O59" s="3" t="s">
        <v>110</v>
      </c>
      <c r="P59" s="11"/>
      <c r="Q59" s="11"/>
      <c r="R59" s="3" t="s">
        <v>51</v>
      </c>
      <c r="S59" s="11"/>
      <c r="T59" s="11"/>
      <c r="U59" s="11"/>
      <c r="V59" s="11"/>
      <c r="W59" s="11"/>
      <c r="X59" s="11"/>
      <c r="AC59" s="3"/>
      <c r="AD59" s="3"/>
      <c r="AE59" s="3"/>
      <c r="AF59" s="3"/>
      <c r="AG59" s="3" t="s">
        <v>189</v>
      </c>
      <c r="AH59" s="3" t="s">
        <v>196</v>
      </c>
    </row>
    <row r="60">
      <c r="A60" s="3" t="s">
        <v>197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3" t="s">
        <v>45</v>
      </c>
      <c r="M60" s="11"/>
      <c r="N60" s="11"/>
      <c r="O60" s="3" t="s">
        <v>139</v>
      </c>
      <c r="P60" s="11"/>
      <c r="Q60" s="11"/>
      <c r="R60" s="3" t="s">
        <v>36</v>
      </c>
      <c r="S60" s="11"/>
      <c r="T60" s="11"/>
      <c r="U60" s="3" t="s">
        <v>36</v>
      </c>
      <c r="V60" s="11"/>
      <c r="W60" s="11"/>
      <c r="X60" s="11"/>
      <c r="AC60" s="11"/>
      <c r="AD60" s="11"/>
      <c r="AE60" s="11"/>
      <c r="AF60" s="11"/>
      <c r="AG60" s="11"/>
      <c r="AH60" s="3" t="s">
        <v>197</v>
      </c>
    </row>
    <row r="61">
      <c r="A61" s="3" t="s">
        <v>198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3" t="s">
        <v>199</v>
      </c>
      <c r="N61" s="11"/>
      <c r="O61" s="3" t="s">
        <v>78</v>
      </c>
      <c r="P61" s="11"/>
      <c r="Q61" s="11"/>
      <c r="R61" s="3" t="s">
        <v>51</v>
      </c>
      <c r="S61" s="11"/>
      <c r="T61" s="11"/>
      <c r="U61" s="11"/>
      <c r="V61" s="11"/>
      <c r="W61" s="11"/>
      <c r="X61" s="11"/>
      <c r="AC61" s="3"/>
      <c r="AD61" s="3"/>
      <c r="AE61" s="3"/>
      <c r="AF61" s="3"/>
      <c r="AG61" s="3" t="s">
        <v>200</v>
      </c>
      <c r="AH61" s="3" t="s">
        <v>198</v>
      </c>
    </row>
    <row r="62">
      <c r="A62" s="3" t="s">
        <v>201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3" t="s">
        <v>89</v>
      </c>
      <c r="N62" s="11"/>
      <c r="O62" s="3" t="s">
        <v>95</v>
      </c>
      <c r="P62" s="11"/>
      <c r="Q62" s="3" t="s">
        <v>202</v>
      </c>
      <c r="R62" s="3" t="s">
        <v>51</v>
      </c>
      <c r="S62" s="11"/>
      <c r="T62" s="11"/>
      <c r="U62" s="11"/>
      <c r="V62" s="11"/>
      <c r="W62" s="11"/>
      <c r="X62" s="11"/>
      <c r="AC62" s="3"/>
      <c r="AD62" s="3"/>
      <c r="AE62" s="3"/>
      <c r="AF62" s="3"/>
      <c r="AG62" s="3" t="s">
        <v>203</v>
      </c>
      <c r="AH62" s="3" t="s">
        <v>201</v>
      </c>
    </row>
    <row r="63">
      <c r="A63" s="3" t="s">
        <v>204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3" t="s">
        <v>63</v>
      </c>
      <c r="N63" s="11"/>
      <c r="O63" s="3" t="s">
        <v>65</v>
      </c>
      <c r="P63" s="11"/>
      <c r="Q63" s="11"/>
      <c r="R63" s="3" t="s">
        <v>36</v>
      </c>
      <c r="S63" s="11"/>
      <c r="T63" s="11"/>
      <c r="U63" s="3" t="s">
        <v>36</v>
      </c>
      <c r="V63" s="11"/>
      <c r="W63" s="11"/>
      <c r="X63" s="11"/>
      <c r="AC63" s="11"/>
      <c r="AD63" s="11"/>
      <c r="AE63" s="11"/>
      <c r="AF63" s="11"/>
      <c r="AG63" s="11"/>
      <c r="AH63" s="3" t="s">
        <v>204</v>
      </c>
    </row>
    <row r="64">
      <c r="A64" s="3" t="s">
        <v>205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3" t="s">
        <v>63</v>
      </c>
      <c r="N64" s="11"/>
      <c r="O64" s="3" t="s">
        <v>65</v>
      </c>
      <c r="P64" s="11"/>
      <c r="Q64" s="11"/>
      <c r="R64" s="3" t="s">
        <v>36</v>
      </c>
      <c r="S64" s="11"/>
      <c r="T64" s="11"/>
      <c r="U64" s="3" t="s">
        <v>36</v>
      </c>
      <c r="V64" s="11"/>
      <c r="W64" s="11"/>
      <c r="X64" s="11"/>
      <c r="AC64" s="11"/>
      <c r="AD64" s="11"/>
      <c r="AE64" s="11"/>
      <c r="AF64" s="11"/>
      <c r="AG64" s="11"/>
      <c r="AH64" s="3" t="s">
        <v>205</v>
      </c>
    </row>
    <row r="65">
      <c r="A65" s="3" t="s">
        <v>206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3" t="s">
        <v>101</v>
      </c>
      <c r="N65" s="11"/>
      <c r="O65" s="3" t="s">
        <v>65</v>
      </c>
      <c r="P65" s="11"/>
      <c r="Q65" s="11"/>
      <c r="R65" s="3" t="s">
        <v>51</v>
      </c>
      <c r="S65" s="11"/>
      <c r="T65" s="11"/>
      <c r="U65" s="11"/>
      <c r="V65" s="11"/>
      <c r="W65" s="11"/>
      <c r="X65" s="11"/>
      <c r="AC65" s="3"/>
      <c r="AD65" s="3"/>
      <c r="AE65" s="3"/>
      <c r="AF65" s="3"/>
      <c r="AG65" s="3" t="s">
        <v>200</v>
      </c>
      <c r="AH65" s="3" t="s">
        <v>206</v>
      </c>
    </row>
    <row r="66">
      <c r="A66" s="3" t="s">
        <v>207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3" t="s">
        <v>133</v>
      </c>
      <c r="N66" s="11"/>
      <c r="O66" s="3" t="s">
        <v>78</v>
      </c>
      <c r="P66" s="11"/>
      <c r="Q66" s="11"/>
      <c r="R66" s="3" t="s">
        <v>51</v>
      </c>
      <c r="S66" s="11"/>
      <c r="T66" s="11"/>
      <c r="U66" s="11"/>
      <c r="V66" s="11"/>
      <c r="W66" s="11"/>
      <c r="X66" s="11"/>
      <c r="AC66" s="3"/>
      <c r="AD66" s="3"/>
      <c r="AE66" s="3"/>
      <c r="AF66" s="3"/>
      <c r="AG66" s="3" t="s">
        <v>203</v>
      </c>
      <c r="AH66" s="3" t="s">
        <v>207</v>
      </c>
    </row>
    <row r="67">
      <c r="A67" s="3" t="s">
        <v>208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3" t="s">
        <v>80</v>
      </c>
      <c r="N67" s="11"/>
      <c r="O67" s="3" t="s">
        <v>209</v>
      </c>
      <c r="P67" s="11"/>
      <c r="Q67" s="11"/>
      <c r="R67" s="3" t="s">
        <v>36</v>
      </c>
      <c r="S67" s="11"/>
      <c r="T67" s="3" t="s">
        <v>83</v>
      </c>
      <c r="U67" s="3" t="s">
        <v>36</v>
      </c>
      <c r="V67" s="11"/>
      <c r="W67" s="11"/>
      <c r="X67" s="11"/>
      <c r="AC67" s="11"/>
      <c r="AD67" s="11"/>
      <c r="AE67" s="11"/>
      <c r="AF67" s="11"/>
      <c r="AG67" s="11"/>
      <c r="AH67" s="3" t="s">
        <v>208</v>
      </c>
    </row>
    <row r="68">
      <c r="A68" s="3" t="s">
        <v>210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3" t="s">
        <v>211</v>
      </c>
      <c r="N68" s="11"/>
      <c r="O68" s="3" t="s">
        <v>209</v>
      </c>
      <c r="P68" s="11"/>
      <c r="Q68" s="3" t="s">
        <v>169</v>
      </c>
      <c r="R68" s="3" t="s">
        <v>51</v>
      </c>
      <c r="S68" s="11"/>
      <c r="T68" s="11"/>
      <c r="U68" s="11"/>
      <c r="V68" s="11"/>
      <c r="W68" s="11"/>
      <c r="X68" s="11"/>
      <c r="AC68" s="3"/>
      <c r="AD68" s="3"/>
      <c r="AE68" s="3"/>
      <c r="AF68" s="3"/>
      <c r="AG68" s="3" t="s">
        <v>200</v>
      </c>
      <c r="AH68" s="3" t="s">
        <v>210</v>
      </c>
    </row>
    <row r="69">
      <c r="A69" s="3" t="s">
        <v>212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3" t="s">
        <v>36</v>
      </c>
      <c r="P69" s="11"/>
      <c r="Q69" s="11"/>
      <c r="R69" s="3" t="s">
        <v>51</v>
      </c>
      <c r="S69" s="11"/>
      <c r="T69" s="3" t="s">
        <v>152</v>
      </c>
      <c r="U69" s="11"/>
      <c r="V69" s="11"/>
      <c r="W69" s="11"/>
      <c r="X69" s="11"/>
      <c r="AC69" s="3"/>
      <c r="AD69" s="3"/>
      <c r="AE69" s="3"/>
      <c r="AF69" s="3"/>
      <c r="AG69" s="3" t="s">
        <v>153</v>
      </c>
      <c r="AH69" s="3" t="s">
        <v>212</v>
      </c>
    </row>
    <row r="70">
      <c r="A70" s="3" t="s">
        <v>213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3" t="s">
        <v>122</v>
      </c>
      <c r="R70" s="3" t="s">
        <v>51</v>
      </c>
      <c r="S70" s="11"/>
      <c r="T70" s="3" t="s">
        <v>214</v>
      </c>
      <c r="U70" s="11"/>
      <c r="V70" s="11"/>
      <c r="W70" s="11"/>
      <c r="X70" s="11"/>
      <c r="AC70" s="3"/>
      <c r="AD70" s="3"/>
      <c r="AE70" s="3"/>
      <c r="AF70" s="3"/>
      <c r="AG70" s="3" t="s">
        <v>203</v>
      </c>
      <c r="AH70" s="3" t="s">
        <v>213</v>
      </c>
    </row>
    <row r="71">
      <c r="A71" s="3" t="s">
        <v>215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3" t="s">
        <v>216</v>
      </c>
      <c r="R71" s="3" t="s">
        <v>39</v>
      </c>
      <c r="S71" s="11"/>
      <c r="T71" s="3" t="s">
        <v>111</v>
      </c>
      <c r="U71" s="11"/>
      <c r="V71" s="11"/>
      <c r="W71" s="11"/>
      <c r="X71" s="11"/>
      <c r="AC71" s="3"/>
      <c r="AD71" s="3"/>
      <c r="AE71" s="3"/>
      <c r="AF71" s="3"/>
      <c r="AG71" s="3" t="s">
        <v>217</v>
      </c>
      <c r="AH71" s="3" t="s">
        <v>215</v>
      </c>
    </row>
    <row r="72">
      <c r="A72" s="3" t="s">
        <v>218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3" t="s">
        <v>219</v>
      </c>
      <c r="R72" s="3" t="s">
        <v>51</v>
      </c>
      <c r="S72" s="11"/>
      <c r="T72" s="3" t="s">
        <v>111</v>
      </c>
      <c r="U72" s="11"/>
      <c r="V72" s="11"/>
      <c r="W72" s="11"/>
      <c r="X72" s="11"/>
      <c r="AC72" s="3"/>
      <c r="AD72" s="3"/>
      <c r="AE72" s="3"/>
      <c r="AF72" s="3"/>
      <c r="AG72" s="3" t="s">
        <v>107</v>
      </c>
      <c r="AH72" s="3" t="s">
        <v>218</v>
      </c>
    </row>
    <row r="73">
      <c r="A73" s="3" t="s">
        <v>220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3" t="s">
        <v>128</v>
      </c>
      <c r="R73" s="3" t="s">
        <v>51</v>
      </c>
      <c r="S73" s="11"/>
      <c r="T73" s="11"/>
      <c r="U73" s="11"/>
      <c r="V73" s="11"/>
      <c r="W73" s="11"/>
      <c r="X73" s="11"/>
      <c r="AC73" s="3"/>
      <c r="AD73" s="3"/>
      <c r="AE73" s="3"/>
      <c r="AF73" s="3"/>
      <c r="AG73" s="3" t="s">
        <v>107</v>
      </c>
      <c r="AH73" s="3" t="s">
        <v>220</v>
      </c>
    </row>
    <row r="74">
      <c r="A74" s="3" t="s">
        <v>221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3" t="s">
        <v>133</v>
      </c>
      <c r="R74" s="3" t="s">
        <v>36</v>
      </c>
      <c r="S74" s="11"/>
      <c r="T74" s="3" t="s">
        <v>148</v>
      </c>
      <c r="U74" s="3" t="s">
        <v>36</v>
      </c>
      <c r="V74" s="11"/>
      <c r="W74" s="11"/>
      <c r="X74" s="11"/>
      <c r="AC74" s="11"/>
      <c r="AD74" s="11"/>
      <c r="AE74" s="11"/>
      <c r="AF74" s="11"/>
      <c r="AG74" s="11"/>
      <c r="AH74" s="3" t="s">
        <v>221</v>
      </c>
    </row>
    <row r="75">
      <c r="A75" s="3" t="s">
        <v>222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3" t="s">
        <v>80</v>
      </c>
      <c r="R75" s="3" t="s">
        <v>36</v>
      </c>
      <c r="S75" s="11"/>
      <c r="T75" s="3" t="s">
        <v>83</v>
      </c>
      <c r="U75" s="3" t="s">
        <v>36</v>
      </c>
      <c r="V75" s="11"/>
      <c r="W75" s="11"/>
      <c r="X75" s="11"/>
      <c r="AC75" s="11"/>
      <c r="AD75" s="11"/>
      <c r="AE75" s="11"/>
      <c r="AF75" s="11"/>
      <c r="AG75" s="11"/>
      <c r="AH75" s="3" t="s">
        <v>222</v>
      </c>
    </row>
    <row r="76">
      <c r="A76" s="3" t="s">
        <v>223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3" t="s">
        <v>45</v>
      </c>
      <c r="R76" s="3" t="s">
        <v>36</v>
      </c>
      <c r="S76" s="11"/>
      <c r="T76" s="3" t="s">
        <v>224</v>
      </c>
      <c r="U76" s="3" t="s">
        <v>36</v>
      </c>
      <c r="V76" s="11"/>
      <c r="W76" s="11"/>
      <c r="X76" s="11"/>
      <c r="AC76" s="11"/>
      <c r="AD76" s="11"/>
      <c r="AE76" s="11"/>
      <c r="AF76" s="11"/>
      <c r="AG76" s="11"/>
      <c r="AH76" s="3" t="s">
        <v>223</v>
      </c>
    </row>
    <row r="77">
      <c r="A77" s="3" t="s">
        <v>225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3" t="s">
        <v>36</v>
      </c>
      <c r="S77" s="11"/>
      <c r="T77" s="11"/>
      <c r="U77" s="3" t="s">
        <v>36</v>
      </c>
      <c r="V77" s="11"/>
      <c r="W77" s="11"/>
      <c r="X77" s="11"/>
      <c r="AC77" s="11"/>
      <c r="AD77" s="11"/>
      <c r="AE77" s="11"/>
      <c r="AF77" s="11"/>
      <c r="AG77" s="11"/>
      <c r="AH77" s="3" t="s">
        <v>225</v>
      </c>
    </row>
    <row r="78">
      <c r="A78" s="11"/>
      <c r="B78" s="3" t="s">
        <v>6</v>
      </c>
      <c r="C78" s="3" t="s">
        <v>7</v>
      </c>
      <c r="D78" s="3" t="s">
        <v>8</v>
      </c>
      <c r="E78" s="3" t="s">
        <v>9</v>
      </c>
      <c r="F78" s="3" t="s">
        <v>10</v>
      </c>
      <c r="G78" s="3" t="s">
        <v>11</v>
      </c>
      <c r="H78" s="3" t="s">
        <v>12</v>
      </c>
      <c r="I78" s="3" t="s">
        <v>13</v>
      </c>
      <c r="J78" s="3" t="s">
        <v>14</v>
      </c>
      <c r="K78" s="3" t="s">
        <v>15</v>
      </c>
      <c r="L78" s="3" t="s">
        <v>16</v>
      </c>
      <c r="M78" s="3" t="s">
        <v>17</v>
      </c>
      <c r="N78" s="3" t="s">
        <v>18</v>
      </c>
      <c r="O78" s="3" t="s">
        <v>19</v>
      </c>
      <c r="P78" s="3" t="s">
        <v>160</v>
      </c>
      <c r="Q78" s="3" t="s">
        <v>21</v>
      </c>
      <c r="R78" s="3" t="s">
        <v>22</v>
      </c>
      <c r="S78" s="3" t="s">
        <v>23</v>
      </c>
      <c r="T78" s="3" t="s">
        <v>24</v>
      </c>
      <c r="U78" s="3" t="s">
        <v>25</v>
      </c>
      <c r="V78" s="3" t="s">
        <v>26</v>
      </c>
      <c r="W78" s="3"/>
      <c r="X78" s="3"/>
      <c r="AC78" s="3"/>
      <c r="AD78" s="3"/>
      <c r="AE78" s="3"/>
      <c r="AF78" s="3"/>
      <c r="AG78" s="3" t="s">
        <v>34</v>
      </c>
      <c r="AH78" s="11"/>
    </row>
    <row r="79">
      <c r="A79" s="3" t="s">
        <v>226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3" t="s">
        <v>87</v>
      </c>
      <c r="T79" s="3" t="s">
        <v>60</v>
      </c>
      <c r="U79" s="11"/>
      <c r="V79" s="11"/>
      <c r="W79" s="11"/>
      <c r="X79" s="11"/>
      <c r="AC79" s="11"/>
      <c r="AD79" s="11"/>
      <c r="AE79" s="11"/>
      <c r="AF79" s="11"/>
      <c r="AG79" s="11"/>
      <c r="AH79" s="3" t="s">
        <v>226</v>
      </c>
    </row>
    <row r="80">
      <c r="A80" s="3" t="s">
        <v>227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3" t="s">
        <v>122</v>
      </c>
      <c r="T80" s="3" t="s">
        <v>214</v>
      </c>
      <c r="U80" s="11"/>
      <c r="V80" s="11"/>
      <c r="W80" s="11"/>
      <c r="X80" s="11"/>
      <c r="AC80" s="11"/>
      <c r="AD80" s="11"/>
      <c r="AE80" s="11"/>
      <c r="AF80" s="11"/>
      <c r="AG80" s="11"/>
      <c r="AH80" s="3" t="s">
        <v>227</v>
      </c>
    </row>
    <row r="81">
      <c r="A81" s="3" t="s">
        <v>228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3" t="s">
        <v>63</v>
      </c>
      <c r="T81" s="3" t="s">
        <v>125</v>
      </c>
      <c r="U81" s="11"/>
      <c r="V81" s="11"/>
      <c r="W81" s="11"/>
      <c r="X81" s="11"/>
      <c r="AC81" s="11"/>
      <c r="AD81" s="11"/>
      <c r="AE81" s="11"/>
      <c r="AF81" s="11"/>
      <c r="AG81" s="11"/>
      <c r="AH81" s="3" t="s">
        <v>228</v>
      </c>
    </row>
    <row r="82">
      <c r="A82" s="3" t="s">
        <v>229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3" t="s">
        <v>230</v>
      </c>
      <c r="T82" s="3" t="s">
        <v>231</v>
      </c>
      <c r="U82" s="11"/>
      <c r="V82" s="11"/>
      <c r="W82" s="11"/>
      <c r="X82" s="11"/>
      <c r="AC82" s="11"/>
      <c r="AD82" s="11"/>
      <c r="AE82" s="11"/>
      <c r="AF82" s="11"/>
      <c r="AG82" s="11"/>
      <c r="AH82" s="3" t="s">
        <v>229</v>
      </c>
    </row>
    <row r="83">
      <c r="A83" s="3" t="s">
        <v>232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3" t="s">
        <v>230</v>
      </c>
      <c r="T83" s="3" t="s">
        <v>233</v>
      </c>
      <c r="U83" s="11"/>
      <c r="V83" s="11"/>
      <c r="W83" s="11"/>
      <c r="X83" s="11"/>
      <c r="AC83" s="11"/>
      <c r="AD83" s="11"/>
      <c r="AE83" s="11"/>
      <c r="AF83" s="11"/>
      <c r="AG83" s="11"/>
      <c r="AH83" s="3" t="s">
        <v>232</v>
      </c>
    </row>
    <row r="84">
      <c r="A84" s="3" t="s">
        <v>234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3" t="s">
        <v>77</v>
      </c>
      <c r="T84" s="3" t="s">
        <v>36</v>
      </c>
      <c r="U84" s="11"/>
      <c r="V84" s="11"/>
      <c r="W84" s="11"/>
      <c r="X84" s="11"/>
      <c r="AC84" s="11"/>
      <c r="AD84" s="11"/>
      <c r="AE84" s="11"/>
      <c r="AF84" s="11"/>
      <c r="AG84" s="11"/>
      <c r="AH84" s="3" t="s">
        <v>234</v>
      </c>
    </row>
    <row r="85">
      <c r="A85" s="3" t="s">
        <v>235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3" t="s">
        <v>80</v>
      </c>
      <c r="T85" s="3" t="s">
        <v>42</v>
      </c>
      <c r="U85" s="3" t="s">
        <v>36</v>
      </c>
      <c r="V85" s="11"/>
      <c r="W85" s="11"/>
      <c r="X85" s="11"/>
      <c r="AC85" s="11"/>
      <c r="AD85" s="11"/>
      <c r="AE85" s="11"/>
      <c r="AF85" s="11"/>
      <c r="AG85" s="11"/>
      <c r="AH85" s="3" t="s">
        <v>235</v>
      </c>
    </row>
    <row r="86">
      <c r="A86" s="3" t="s">
        <v>236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3" t="s">
        <v>237</v>
      </c>
      <c r="T86" s="3" t="s">
        <v>231</v>
      </c>
      <c r="U86" s="11"/>
      <c r="V86" s="11"/>
      <c r="W86" s="11"/>
      <c r="X86" s="11"/>
      <c r="AC86" s="11"/>
      <c r="AD86" s="11"/>
      <c r="AE86" s="11"/>
      <c r="AF86" s="11"/>
      <c r="AG86" s="11"/>
      <c r="AH86" s="3" t="s">
        <v>236</v>
      </c>
    </row>
    <row r="87">
      <c r="A87" s="3" t="s">
        <v>238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3" t="s">
        <v>36</v>
      </c>
      <c r="V87" s="11"/>
      <c r="W87" s="11"/>
      <c r="X87" s="11"/>
      <c r="AC87" s="11"/>
      <c r="AD87" s="11"/>
      <c r="AE87" s="11"/>
      <c r="AF87" s="11"/>
      <c r="AG87" s="11"/>
      <c r="AH87" s="3" t="s">
        <v>238</v>
      </c>
    </row>
    <row r="88">
      <c r="A88" s="3" t="s">
        <v>239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3" t="s">
        <v>49</v>
      </c>
      <c r="W88" s="3"/>
      <c r="X88" s="3"/>
      <c r="AC88" s="11"/>
      <c r="AD88" s="11"/>
      <c r="AE88" s="11"/>
      <c r="AF88" s="11"/>
      <c r="AG88" s="11"/>
      <c r="AH88" s="3" t="s">
        <v>239</v>
      </c>
    </row>
    <row r="89">
      <c r="A89" s="3" t="s">
        <v>240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3" t="s">
        <v>122</v>
      </c>
      <c r="W89" s="3"/>
      <c r="X89" s="3"/>
      <c r="AC89" s="11"/>
      <c r="AD89" s="11"/>
      <c r="AE89" s="11"/>
      <c r="AF89" s="11"/>
      <c r="AG89" s="11"/>
      <c r="AH89" s="3" t="s">
        <v>240</v>
      </c>
    </row>
    <row r="90">
      <c r="A90" s="3" t="s">
        <v>241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3" t="s">
        <v>242</v>
      </c>
      <c r="W90" s="3"/>
      <c r="X90" s="3"/>
      <c r="AC90" s="11"/>
      <c r="AD90" s="11"/>
      <c r="AE90" s="11"/>
      <c r="AF90" s="11"/>
      <c r="AG90" s="11"/>
      <c r="AH90" s="3" t="s">
        <v>241</v>
      </c>
    </row>
    <row r="91">
      <c r="A91" s="3" t="s">
        <v>243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3" t="s">
        <v>219</v>
      </c>
      <c r="W91" s="3"/>
      <c r="X91" s="3"/>
      <c r="AC91" s="11"/>
      <c r="AD91" s="11"/>
      <c r="AE91" s="11"/>
      <c r="AF91" s="11"/>
      <c r="AG91" s="11"/>
      <c r="AH91" s="3" t="s">
        <v>243</v>
      </c>
    </row>
    <row r="92">
      <c r="A92" s="3" t="s">
        <v>244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3" t="s">
        <v>133</v>
      </c>
      <c r="W92" s="3"/>
      <c r="X92" s="3"/>
      <c r="AC92" s="11"/>
      <c r="AD92" s="11"/>
      <c r="AE92" s="11"/>
      <c r="AF92" s="11"/>
      <c r="AG92" s="11"/>
      <c r="AH92" s="3" t="s">
        <v>244</v>
      </c>
    </row>
    <row r="93">
      <c r="A93" s="3" t="s">
        <v>245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3" t="s">
        <v>246</v>
      </c>
      <c r="W93" s="3"/>
      <c r="X93" s="3"/>
      <c r="AC93" s="11"/>
      <c r="AD93" s="11"/>
      <c r="AE93" s="11"/>
      <c r="AF93" s="11"/>
      <c r="AG93" s="11"/>
      <c r="AH93" s="3" t="s">
        <v>245</v>
      </c>
    </row>
    <row r="94">
      <c r="A94" s="3" t="s">
        <v>247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3" t="s">
        <v>237</v>
      </c>
      <c r="W94" s="3"/>
      <c r="X94" s="3"/>
      <c r="AC94" s="11"/>
      <c r="AD94" s="11"/>
      <c r="AE94" s="11"/>
      <c r="AF94" s="11"/>
      <c r="AG94" s="11"/>
      <c r="AH94" s="3" t="s">
        <v>247</v>
      </c>
    </row>
    <row r="95">
      <c r="A95" s="11"/>
      <c r="B95" s="3" t="s">
        <v>6</v>
      </c>
      <c r="C95" s="3" t="s">
        <v>7</v>
      </c>
      <c r="D95" s="3" t="s">
        <v>8</v>
      </c>
      <c r="E95" s="3" t="s">
        <v>9</v>
      </c>
      <c r="F95" s="3" t="s">
        <v>10</v>
      </c>
      <c r="G95" s="3" t="s">
        <v>11</v>
      </c>
      <c r="H95" s="3" t="s">
        <v>12</v>
      </c>
      <c r="I95" s="3" t="s">
        <v>13</v>
      </c>
      <c r="J95" s="3" t="s">
        <v>14</v>
      </c>
      <c r="K95" s="3" t="s">
        <v>15</v>
      </c>
      <c r="L95" s="3" t="s">
        <v>16</v>
      </c>
      <c r="M95" s="3" t="s">
        <v>17</v>
      </c>
      <c r="N95" s="3" t="s">
        <v>18</v>
      </c>
      <c r="O95" s="3" t="s">
        <v>19</v>
      </c>
      <c r="P95" s="3" t="s">
        <v>160</v>
      </c>
      <c r="Q95" s="3" t="s">
        <v>21</v>
      </c>
      <c r="R95" s="3" t="s">
        <v>22</v>
      </c>
      <c r="S95" s="3" t="s">
        <v>23</v>
      </c>
      <c r="T95" s="3" t="s">
        <v>24</v>
      </c>
      <c r="U95" s="3" t="s">
        <v>25</v>
      </c>
      <c r="V95" s="3" t="s">
        <v>26</v>
      </c>
      <c r="W95" s="3"/>
      <c r="X95" s="3"/>
      <c r="AC95" s="3"/>
      <c r="AD95" s="3"/>
      <c r="AE95" s="3"/>
      <c r="AF95" s="3"/>
      <c r="AG95" s="3" t="s">
        <v>34</v>
      </c>
      <c r="AH95" s="11"/>
    </row>
    <row r="96">
      <c r="A96" s="3" t="s">
        <v>248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AC96" s="3"/>
      <c r="AD96" s="3"/>
      <c r="AE96" s="3"/>
      <c r="AF96" s="3"/>
      <c r="AG96" s="3" t="s">
        <v>249</v>
      </c>
      <c r="AH96" s="3" t="s">
        <v>248</v>
      </c>
    </row>
    <row r="97">
      <c r="A97" s="3" t="s">
        <v>250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AC97" s="3"/>
      <c r="AD97" s="3"/>
      <c r="AE97" s="3"/>
      <c r="AF97" s="3"/>
      <c r="AG97" s="3" t="s">
        <v>249</v>
      </c>
      <c r="AH97" s="3" t="s">
        <v>250</v>
      </c>
    </row>
    <row r="98">
      <c r="A98" s="3" t="s">
        <v>251</v>
      </c>
      <c r="B98" s="11"/>
      <c r="C98" s="11"/>
      <c r="D98" s="11"/>
      <c r="E98" s="11"/>
      <c r="F98" s="11"/>
      <c r="G98" s="11"/>
      <c r="H98" s="3" t="s">
        <v>38</v>
      </c>
      <c r="I98" s="11"/>
      <c r="J98" s="11"/>
      <c r="K98" s="11"/>
      <c r="L98" s="11"/>
      <c r="M98" s="11"/>
      <c r="N98" s="11"/>
      <c r="O98" s="11"/>
      <c r="P98" s="11"/>
      <c r="Q98" s="11"/>
      <c r="R98" s="3" t="s">
        <v>51</v>
      </c>
      <c r="S98" s="11"/>
      <c r="T98" s="11"/>
      <c r="U98" s="11"/>
      <c r="V98" s="11"/>
      <c r="W98" s="11"/>
      <c r="X98" s="11"/>
      <c r="AC98" s="3"/>
      <c r="AD98" s="3"/>
      <c r="AE98" s="3"/>
      <c r="AF98" s="3"/>
      <c r="AG98" s="3" t="s">
        <v>252</v>
      </c>
      <c r="AH98" s="3" t="s">
        <v>251</v>
      </c>
    </row>
    <row r="99">
      <c r="A99" s="3" t="s">
        <v>253</v>
      </c>
      <c r="B99" s="11"/>
      <c r="C99" s="11"/>
      <c r="D99" s="11"/>
      <c r="E99" s="11"/>
      <c r="F99" s="11"/>
      <c r="G99" s="11"/>
      <c r="H99" s="3" t="s">
        <v>38</v>
      </c>
      <c r="I99" s="11"/>
      <c r="J99" s="11"/>
      <c r="K99" s="11"/>
      <c r="L99" s="11"/>
      <c r="M99" s="11"/>
      <c r="N99" s="11"/>
      <c r="O99" s="11"/>
      <c r="P99" s="3" t="s">
        <v>254</v>
      </c>
      <c r="Q99" s="11"/>
      <c r="R99" s="3" t="s">
        <v>51</v>
      </c>
      <c r="S99" s="11"/>
      <c r="T99" s="11"/>
      <c r="U99" s="11"/>
      <c r="V99" s="11"/>
      <c r="W99" s="11"/>
      <c r="X99" s="11"/>
      <c r="AC99" s="3"/>
      <c r="AD99" s="3"/>
      <c r="AE99" s="3"/>
      <c r="AF99" s="3"/>
      <c r="AG99" s="3" t="s">
        <v>255</v>
      </c>
      <c r="AH99" s="3" t="s">
        <v>253</v>
      </c>
    </row>
    <row r="100">
      <c r="A100" s="3" t="s">
        <v>256</v>
      </c>
      <c r="B100" s="11"/>
      <c r="C100" s="11"/>
      <c r="D100" s="11"/>
      <c r="E100" s="11"/>
      <c r="F100" s="11"/>
      <c r="G100" s="11"/>
      <c r="H100" s="3" t="s">
        <v>38</v>
      </c>
      <c r="I100" s="11"/>
      <c r="J100" s="11"/>
      <c r="K100" s="11"/>
      <c r="L100" s="11"/>
      <c r="M100" s="11"/>
      <c r="N100" s="11"/>
      <c r="O100" s="11"/>
      <c r="P100" s="3" t="s">
        <v>254</v>
      </c>
      <c r="Q100" s="11"/>
      <c r="R100" s="3" t="s">
        <v>51</v>
      </c>
      <c r="S100" s="11"/>
      <c r="T100" s="11"/>
      <c r="U100" s="11"/>
      <c r="V100" s="11"/>
      <c r="W100" s="11"/>
      <c r="X100" s="11"/>
      <c r="AC100" s="3"/>
      <c r="AD100" s="3"/>
      <c r="AE100" s="3"/>
      <c r="AF100" s="3"/>
      <c r="AG100" s="3" t="s">
        <v>255</v>
      </c>
      <c r="AH100" s="3" t="s">
        <v>256</v>
      </c>
    </row>
    <row r="101">
      <c r="A101" s="3" t="s">
        <v>257</v>
      </c>
      <c r="B101" s="11"/>
      <c r="C101" s="11"/>
      <c r="D101" s="11"/>
      <c r="E101" s="11"/>
      <c r="F101" s="11"/>
      <c r="G101" s="11"/>
      <c r="H101" s="3" t="s">
        <v>38</v>
      </c>
      <c r="I101" s="11"/>
      <c r="J101" s="11"/>
      <c r="K101" s="11"/>
      <c r="L101" s="11"/>
      <c r="M101" s="11"/>
      <c r="N101" s="11"/>
      <c r="O101" s="11"/>
      <c r="P101" s="3" t="s">
        <v>254</v>
      </c>
      <c r="Q101" s="11"/>
      <c r="R101" s="3" t="s">
        <v>51</v>
      </c>
      <c r="S101" s="11"/>
      <c r="T101" s="11"/>
      <c r="U101" s="11"/>
      <c r="V101" s="11"/>
      <c r="W101" s="11"/>
      <c r="X101" s="11"/>
      <c r="AC101" s="3"/>
      <c r="AD101" s="3"/>
      <c r="AE101" s="3"/>
      <c r="AF101" s="3"/>
      <c r="AG101" s="3" t="s">
        <v>255</v>
      </c>
      <c r="AH101" s="3" t="s">
        <v>257</v>
      </c>
    </row>
    <row r="102">
      <c r="A102" s="3" t="s">
        <v>258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AC102" s="3"/>
      <c r="AD102" s="3"/>
      <c r="AE102" s="3"/>
      <c r="AF102" s="3"/>
      <c r="AG102" s="3" t="s">
        <v>259</v>
      </c>
      <c r="AH102" s="3" t="s">
        <v>258</v>
      </c>
    </row>
    <row r="103">
      <c r="A103" s="3" t="s">
        <v>260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AC103" s="3"/>
      <c r="AD103" s="3"/>
      <c r="AE103" s="3"/>
      <c r="AF103" s="3"/>
      <c r="AG103" s="3" t="s">
        <v>261</v>
      </c>
      <c r="AH103" s="3" t="s">
        <v>260</v>
      </c>
    </row>
    <row r="104">
      <c r="A104" s="3" t="s">
        <v>262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AC104" s="3"/>
      <c r="AD104" s="3"/>
      <c r="AE104" s="3"/>
      <c r="AF104" s="3"/>
      <c r="AG104" s="3" t="s">
        <v>261</v>
      </c>
      <c r="AH104" s="3" t="s">
        <v>262</v>
      </c>
    </row>
    <row r="105">
      <c r="A105" s="3" t="s">
        <v>263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AC105" s="3"/>
      <c r="AD105" s="3"/>
      <c r="AE105" s="3"/>
      <c r="AF105" s="3"/>
      <c r="AG105" s="3" t="s">
        <v>261</v>
      </c>
      <c r="AH105" s="3" t="s">
        <v>263</v>
      </c>
    </row>
    <row r="106">
      <c r="A106" s="3" t="s">
        <v>264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3" t="s">
        <v>36</v>
      </c>
      <c r="V106" s="11"/>
      <c r="W106" s="11"/>
      <c r="X106" s="11"/>
      <c r="AC106" s="3"/>
      <c r="AD106" s="3"/>
      <c r="AE106" s="3"/>
      <c r="AF106" s="3"/>
      <c r="AG106" s="3" t="s">
        <v>265</v>
      </c>
      <c r="AH106" s="3" t="s">
        <v>264</v>
      </c>
    </row>
    <row r="107">
      <c r="A107" s="3" t="s">
        <v>266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3" t="s">
        <v>51</v>
      </c>
      <c r="S107" s="11"/>
      <c r="T107" s="11"/>
      <c r="U107" s="11"/>
      <c r="V107" s="11"/>
      <c r="W107" s="11"/>
      <c r="X107" s="11"/>
      <c r="AC107" s="3"/>
      <c r="AD107" s="3"/>
      <c r="AE107" s="3"/>
      <c r="AF107" s="3"/>
      <c r="AG107" s="3" t="s">
        <v>267</v>
      </c>
      <c r="AH107" s="3" t="s">
        <v>266</v>
      </c>
    </row>
    <row r="108">
      <c r="A108" s="3" t="s">
        <v>268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>
        <v>1.0</v>
      </c>
      <c r="X108" s="3"/>
      <c r="AC108" s="3"/>
      <c r="AD108" s="3"/>
      <c r="AE108" s="3"/>
      <c r="AF108" s="3"/>
      <c r="AG108" s="3"/>
      <c r="AH108" s="3" t="s">
        <v>268</v>
      </c>
    </row>
    <row r="109">
      <c r="A109" s="3" t="s">
        <v>269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>
        <v>2.0</v>
      </c>
      <c r="X109" s="3"/>
      <c r="AC109" s="3"/>
      <c r="AD109" s="3"/>
      <c r="AE109" s="3"/>
      <c r="AF109" s="3"/>
      <c r="AG109" s="3"/>
      <c r="AH109" s="3" t="s">
        <v>269</v>
      </c>
    </row>
    <row r="110">
      <c r="A110" s="3" t="s">
        <v>270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>
        <v>3.0</v>
      </c>
      <c r="X110" s="3"/>
      <c r="AC110" s="3"/>
      <c r="AD110" s="3"/>
      <c r="AE110" s="3"/>
      <c r="AF110" s="3"/>
      <c r="AG110" s="3"/>
      <c r="AH110" s="3" t="s">
        <v>270</v>
      </c>
    </row>
    <row r="111">
      <c r="A111" s="3" t="s">
        <v>271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>
        <v>4.0</v>
      </c>
      <c r="X111" s="3"/>
      <c r="AC111" s="3"/>
      <c r="AD111" s="3"/>
      <c r="AE111" s="3"/>
      <c r="AF111" s="3"/>
      <c r="AG111" s="3"/>
      <c r="AH111" s="3" t="s">
        <v>271</v>
      </c>
    </row>
    <row r="112">
      <c r="A112" s="3" t="s">
        <v>272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>
        <v>5.0</v>
      </c>
      <c r="X112" s="3"/>
      <c r="AC112" s="3"/>
      <c r="AD112" s="3"/>
      <c r="AE112" s="3"/>
      <c r="AF112" s="3"/>
      <c r="AG112" s="3"/>
      <c r="AH112" s="3" t="s">
        <v>272</v>
      </c>
    </row>
    <row r="113">
      <c r="A113" s="3" t="s">
        <v>273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>
        <v>5.0</v>
      </c>
      <c r="X113" s="3"/>
      <c r="AC113" s="3"/>
      <c r="AD113" s="3"/>
      <c r="AE113" s="3"/>
      <c r="AF113" s="3"/>
      <c r="AG113" s="3"/>
      <c r="AH113" s="3" t="s">
        <v>273</v>
      </c>
    </row>
    <row r="114">
      <c r="A114" s="3" t="s">
        <v>274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 t="s">
        <v>275</v>
      </c>
      <c r="X114" s="3"/>
      <c r="AC114" s="3"/>
      <c r="AD114" s="3"/>
      <c r="AE114" s="3"/>
      <c r="AF114" s="3"/>
      <c r="AG114" s="3"/>
      <c r="AH114" s="3" t="s">
        <v>274</v>
      </c>
    </row>
    <row r="115">
      <c r="A115" s="3" t="s">
        <v>276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3"/>
      <c r="X115" s="7">
        <v>1.0</v>
      </c>
      <c r="Y115" s="14"/>
      <c r="Z115" s="14"/>
      <c r="AA115" s="15"/>
      <c r="AB115" s="16"/>
      <c r="AC115" s="14"/>
      <c r="AD115" s="3"/>
      <c r="AE115" s="3"/>
      <c r="AF115" s="3"/>
      <c r="AG115" s="3"/>
      <c r="AH115" s="11"/>
    </row>
    <row r="116">
      <c r="A116" s="3" t="s">
        <v>277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13"/>
      <c r="X116" s="7">
        <v>1.0</v>
      </c>
      <c r="Y116" s="14"/>
      <c r="Z116" s="14"/>
      <c r="AA116" s="15"/>
      <c r="AB116" s="16"/>
      <c r="AC116" s="14"/>
      <c r="AD116" s="3"/>
      <c r="AE116" s="3"/>
      <c r="AF116" s="3"/>
      <c r="AG116" s="3"/>
      <c r="AH116" s="11"/>
    </row>
    <row r="117">
      <c r="A117" s="11"/>
      <c r="B117" s="3" t="s">
        <v>6</v>
      </c>
      <c r="C117" s="3" t="s">
        <v>7</v>
      </c>
      <c r="D117" s="3" t="s">
        <v>8</v>
      </c>
      <c r="E117" s="3" t="s">
        <v>9</v>
      </c>
      <c r="F117" s="3" t="s">
        <v>10</v>
      </c>
      <c r="G117" s="3" t="s">
        <v>11</v>
      </c>
      <c r="H117" s="3" t="s">
        <v>12</v>
      </c>
      <c r="I117" s="3" t="s">
        <v>13</v>
      </c>
      <c r="J117" s="3" t="s">
        <v>14</v>
      </c>
      <c r="K117" s="3" t="s">
        <v>15</v>
      </c>
      <c r="L117" s="3" t="s">
        <v>16</v>
      </c>
      <c r="M117" s="3" t="s">
        <v>17</v>
      </c>
      <c r="N117" s="3" t="s">
        <v>18</v>
      </c>
      <c r="O117" s="3" t="s">
        <v>19</v>
      </c>
      <c r="P117" s="3" t="s">
        <v>160</v>
      </c>
      <c r="Q117" s="3" t="s">
        <v>21</v>
      </c>
      <c r="R117" s="3" t="s">
        <v>22</v>
      </c>
      <c r="S117" s="3" t="s">
        <v>23</v>
      </c>
      <c r="T117" s="3" t="s">
        <v>24</v>
      </c>
      <c r="U117" s="3" t="s">
        <v>25</v>
      </c>
      <c r="V117" s="3" t="s">
        <v>26</v>
      </c>
      <c r="W117" s="6" t="s">
        <v>278</v>
      </c>
      <c r="X117" s="7" t="s">
        <v>28</v>
      </c>
      <c r="Y117" s="8" t="s">
        <v>29</v>
      </c>
      <c r="Z117" s="8" t="s">
        <v>30</v>
      </c>
      <c r="AA117" s="9" t="s">
        <v>31</v>
      </c>
      <c r="AB117" s="10" t="s">
        <v>32</v>
      </c>
      <c r="AC117" s="8" t="s">
        <v>33</v>
      </c>
      <c r="AD117" s="3"/>
      <c r="AE117" s="3"/>
      <c r="AF117" s="3"/>
      <c r="AG117" s="3" t="s">
        <v>34</v>
      </c>
      <c r="AH117" s="11"/>
    </row>
  </sheetData>
  <hyperlinks>
    <hyperlink r:id="rId1" ref="B1"/>
    <hyperlink r:id="rId2" ref="W5"/>
    <hyperlink r:id="rId3" ref="X5"/>
    <hyperlink r:id="rId4" ref="Y5"/>
    <hyperlink r:id="rId5" ref="Z5"/>
    <hyperlink r:id="rId6" ref="AA5"/>
    <hyperlink r:id="rId7" ref="AB5"/>
    <hyperlink r:id="rId8" ref="AC5"/>
    <hyperlink r:id="rId9" ref="W117"/>
    <hyperlink r:id="rId10" ref="X117"/>
    <hyperlink r:id="rId11" ref="Y117"/>
    <hyperlink r:id="rId12" ref="Z117"/>
    <hyperlink r:id="rId13" ref="AA117"/>
    <hyperlink r:id="rId14" ref="AB117"/>
    <hyperlink r:id="rId15" ref="AC117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0"/>
    <col customWidth="1" min="13" max="13" width="15.38"/>
  </cols>
  <sheetData>
    <row r="1">
      <c r="A1" s="3"/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</row>
    <row r="2">
      <c r="A2" s="3" t="s">
        <v>35</v>
      </c>
      <c r="B2" s="17" t="str">
        <f t="array" ref="B2">XLOOKUP(C2,'作品サブタイトル'!$A$2:$A$32,'作品サブタイトル'!$F$2:$F$32,0)</f>
        <v>靈異伝</v>
      </c>
      <c r="C2" s="1">
        <v>1.0</v>
      </c>
      <c r="D2" s="18">
        <f t="array" ref="D2">XLOOKUP(C2,'作品サブタイトル'!$A$2:$A$32,'作品サブタイトル'!$B$2:$B$32,0)</f>
        <v>1996</v>
      </c>
      <c r="E2" s="18">
        <f t="array" ref="E2">xlookup(C2,'作品サブタイトル'!A$2:A$32,'作品サブタイトル'!E$2:E$32)</f>
        <v>1</v>
      </c>
      <c r="F2" s="19">
        <v>0.0</v>
      </c>
      <c r="G2" s="19">
        <v>0.0</v>
      </c>
      <c r="H2" s="1">
        <v>0.0</v>
      </c>
      <c r="I2" s="1">
        <v>1.0</v>
      </c>
      <c r="J2" s="1">
        <v>1.0</v>
      </c>
      <c r="K2" s="1">
        <v>1.0</v>
      </c>
      <c r="L2" s="1">
        <v>30.0</v>
      </c>
      <c r="N2" s="1">
        <v>0.0</v>
      </c>
    </row>
    <row r="3">
      <c r="A3" s="3" t="s">
        <v>44</v>
      </c>
      <c r="B3" s="17" t="str">
        <f t="array" ref="B3">XLOOKUP(C3,'作品サブタイトル'!$A$2:$A$32,'作品サブタイトル'!$F$2:$F$32,0)</f>
        <v>封魔録</v>
      </c>
      <c r="C3" s="1">
        <v>2.0</v>
      </c>
      <c r="D3" s="18">
        <f t="array" ref="D3">XLOOKUP(C3,'作品サブタイトル'!$A$2:$A$32,'作品サブタイトル'!$B$2:$B$32,0)</f>
        <v>1997</v>
      </c>
      <c r="E3" s="18">
        <f t="array" ref="E3">xlookup(C3,'作品サブタイトル'!A$2:A$32,'作品サブタイトル'!E$2:E$32)</f>
        <v>1</v>
      </c>
      <c r="F3" s="19">
        <v>0.0</v>
      </c>
      <c r="G3" s="19">
        <v>0.0</v>
      </c>
      <c r="H3" s="1">
        <v>0.0</v>
      </c>
      <c r="I3" s="1">
        <v>1.0</v>
      </c>
      <c r="J3" s="1">
        <v>1.0</v>
      </c>
      <c r="K3" s="1">
        <v>1.0</v>
      </c>
      <c r="L3" s="1">
        <v>30.0</v>
      </c>
      <c r="N3" s="1">
        <v>1.0</v>
      </c>
    </row>
    <row r="4">
      <c r="A4" s="3" t="s">
        <v>48</v>
      </c>
      <c r="B4" s="17" t="str">
        <f t="array" ref="B4">XLOOKUP(C4,'作品サブタイトル'!$A$2:$A$32,'作品サブタイトル'!$F$2:$F$32,0)</f>
        <v>紅魔郷</v>
      </c>
      <c r="C4" s="1">
        <v>6.0</v>
      </c>
      <c r="D4" s="18">
        <f t="array" ref="D4">XLOOKUP(C4,'作品サブタイトル'!$A$2:$A$32,'作品サブタイトル'!$B$2:$B$32,0)</f>
        <v>2002</v>
      </c>
      <c r="E4" s="18">
        <f t="array" ref="E4">xlookup(C4,'作品サブタイトル'!A$2:A$32,'作品サブタイトル'!E$2:E$32)</f>
        <v>1</v>
      </c>
      <c r="F4" s="19">
        <v>0.0</v>
      </c>
      <c r="G4" s="19">
        <v>0.0</v>
      </c>
      <c r="H4" s="1">
        <v>1.0</v>
      </c>
      <c r="N4" s="1">
        <v>2.0</v>
      </c>
    </row>
    <row r="5">
      <c r="A5" s="3" t="s">
        <v>53</v>
      </c>
      <c r="B5" s="17" t="str">
        <f t="array" ref="B5">XLOOKUP(C5,'作品サブタイトル'!$A$2:$A$32,'作品サブタイトル'!$F$2:$F$32,0)</f>
        <v>紅魔郷</v>
      </c>
      <c r="C5" s="1">
        <v>6.0</v>
      </c>
      <c r="D5" s="18">
        <f t="array" ref="D5">XLOOKUP(C5,'作品サブタイトル'!$A$2:$A$32,'作品サブタイトル'!$B$2:$B$32,0)</f>
        <v>2002</v>
      </c>
      <c r="E5" s="18">
        <f t="array" ref="E5">xlookup(C5,'作品サブタイトル'!A$2:A$32,'作品サブタイトル'!E$2:E$32)</f>
        <v>1</v>
      </c>
      <c r="F5" s="19">
        <v>0.0</v>
      </c>
      <c r="G5" s="19">
        <v>0.0</v>
      </c>
      <c r="H5" s="1">
        <v>2.0</v>
      </c>
      <c r="N5" s="1">
        <v>3.0</v>
      </c>
    </row>
    <row r="6">
      <c r="A6" s="3" t="s">
        <v>56</v>
      </c>
      <c r="B6" s="17" t="str">
        <f t="array" ref="B6">XLOOKUP(C6,'作品サブタイトル'!$A$2:$A$32,'作品サブタイトル'!$F$2:$F$32,0)</f>
        <v>紅魔郷</v>
      </c>
      <c r="C6" s="1">
        <v>6.0</v>
      </c>
      <c r="D6" s="18">
        <f t="array" ref="D6">XLOOKUP(C6,'作品サブタイトル'!$A$2:$A$32,'作品サブタイトル'!$B$2:$B$32,0)</f>
        <v>2002</v>
      </c>
      <c r="E6" s="18">
        <f t="array" ref="E6">xlookup(C6,'作品サブタイトル'!A$2:A$32,'作品サブタイトル'!E$2:E$32)</f>
        <v>1</v>
      </c>
      <c r="F6" s="19">
        <v>0.0</v>
      </c>
      <c r="G6" s="19">
        <v>0.0</v>
      </c>
      <c r="H6" s="1">
        <v>2.0</v>
      </c>
      <c r="J6" s="1">
        <v>1.0</v>
      </c>
      <c r="N6" s="1">
        <v>4.0</v>
      </c>
    </row>
    <row r="7">
      <c r="A7" s="3" t="s">
        <v>62</v>
      </c>
      <c r="B7" s="17" t="str">
        <f t="array" ref="B7">XLOOKUP(C7,'作品サブタイトル'!$A$2:$A$32,'作品サブタイトル'!$F$2:$F$32,0)</f>
        <v>紅魔郷</v>
      </c>
      <c r="C7" s="1">
        <v>6.0</v>
      </c>
      <c r="D7" s="18">
        <f t="array" ref="D7">XLOOKUP(C7,'作品サブタイトル'!$A$2:$A$32,'作品サブタイトル'!$B$2:$B$32,0)</f>
        <v>2002</v>
      </c>
      <c r="E7" s="18">
        <f t="array" ref="E7">xlookup(C7,'作品サブタイトル'!A$2:A$32,'作品サブタイトル'!E$2:E$32)</f>
        <v>1</v>
      </c>
      <c r="F7" s="19">
        <v>0.0</v>
      </c>
      <c r="G7" s="19">
        <v>0.0</v>
      </c>
      <c r="H7" s="1">
        <v>3.0</v>
      </c>
      <c r="N7" s="1">
        <v>5.0</v>
      </c>
    </row>
    <row r="8">
      <c r="A8" s="3" t="s">
        <v>67</v>
      </c>
      <c r="B8" s="17" t="str">
        <f t="array" ref="B8">XLOOKUP(C8,'作品サブタイトル'!$A$2:$A$32,'作品サブタイトル'!$F$2:$F$32,0)</f>
        <v>紅魔郷</v>
      </c>
      <c r="C8" s="1">
        <v>6.0</v>
      </c>
      <c r="D8" s="18">
        <f t="array" ref="D8">XLOOKUP(C8,'作品サブタイトル'!$A$2:$A$32,'作品サブタイトル'!$B$2:$B$32,0)</f>
        <v>2002</v>
      </c>
      <c r="E8" s="18">
        <f t="array" ref="E8">xlookup(C8,'作品サブタイトル'!A$2:A$32,'作品サブタイトル'!E$2:E$32)</f>
        <v>1</v>
      </c>
      <c r="F8" s="19">
        <v>0.0</v>
      </c>
      <c r="G8" s="19">
        <v>0.0</v>
      </c>
      <c r="H8" s="1">
        <v>4.0</v>
      </c>
      <c r="N8" s="1">
        <v>6.0</v>
      </c>
    </row>
    <row r="9">
      <c r="A9" s="3" t="s">
        <v>69</v>
      </c>
      <c r="B9" s="17" t="str">
        <f t="array" ref="B9">XLOOKUP(C9,'作品サブタイトル'!$A$2:$A$32,'作品サブタイトル'!$F$2:$F$32,0)</f>
        <v>紅魔郷</v>
      </c>
      <c r="C9" s="1">
        <v>6.0</v>
      </c>
      <c r="D9" s="18">
        <f t="array" ref="D9">XLOOKUP(C9,'作品サブタイトル'!$A$2:$A$32,'作品サブタイトル'!$B$2:$B$32,0)</f>
        <v>2002</v>
      </c>
      <c r="E9" s="18">
        <f t="array" ref="E9">xlookup(C9,'作品サブタイトル'!A$2:A$32,'作品サブタイトル'!E$2:E$32)</f>
        <v>1</v>
      </c>
      <c r="F9" s="19">
        <v>0.0</v>
      </c>
      <c r="G9" s="19">
        <v>0.0</v>
      </c>
      <c r="H9" s="1">
        <v>4.0</v>
      </c>
      <c r="N9" s="1">
        <v>7.0</v>
      </c>
    </row>
    <row r="10">
      <c r="A10" s="3" t="s">
        <v>76</v>
      </c>
      <c r="B10" s="17" t="str">
        <f t="array" ref="B10">XLOOKUP(C10,'作品サブタイトル'!$A$2:$A$32,'作品サブタイトル'!$F$2:$F$32,0)</f>
        <v>紅魔郷</v>
      </c>
      <c r="C10" s="1">
        <v>6.0</v>
      </c>
      <c r="D10" s="18">
        <f t="array" ref="D10">XLOOKUP(C10,'作品サブタイトル'!$A$2:$A$32,'作品サブタイトル'!$B$2:$B$32,0)</f>
        <v>2002</v>
      </c>
      <c r="E10" s="18">
        <f t="array" ref="E10">xlookup(C10,'作品サブタイトル'!A$2:A$32,'作品サブタイトル'!E$2:E$32)</f>
        <v>1</v>
      </c>
      <c r="F10" s="19">
        <v>0.0</v>
      </c>
      <c r="G10" s="19">
        <v>0.0</v>
      </c>
      <c r="H10" s="1">
        <v>5.0</v>
      </c>
      <c r="N10" s="1">
        <v>8.0</v>
      </c>
    </row>
    <row r="11">
      <c r="A11" s="3" t="s">
        <v>79</v>
      </c>
      <c r="B11" s="17" t="str">
        <f t="array" ref="B11">XLOOKUP(C11,'作品サブタイトル'!$A$2:$A$32,'作品サブタイトル'!$F$2:$F$32,0)</f>
        <v>紅魔郷</v>
      </c>
      <c r="C11" s="1">
        <v>6.0</v>
      </c>
      <c r="D11" s="18">
        <f t="array" ref="D11">XLOOKUP(C11,'作品サブタイトル'!$A$2:$A$32,'作品サブタイトル'!$B$2:$B$32,0)</f>
        <v>2002</v>
      </c>
      <c r="E11" s="18">
        <f t="array" ref="E11">xlookup(C11,'作品サブタイトル'!A$2:A$32,'作品サブタイトル'!E$2:E$32)</f>
        <v>1</v>
      </c>
      <c r="F11" s="19">
        <v>0.0</v>
      </c>
      <c r="G11" s="19">
        <v>0.0</v>
      </c>
      <c r="H11" s="1">
        <v>6.0</v>
      </c>
      <c r="N11" s="1">
        <v>9.0</v>
      </c>
    </row>
    <row r="12">
      <c r="A12" s="3" t="s">
        <v>85</v>
      </c>
      <c r="B12" s="17" t="str">
        <f t="array" ref="B12">XLOOKUP(C12,'作品サブタイトル'!$A$2:$A$32,'作品サブタイトル'!$F$2:$F$32,0)</f>
        <v>紅魔郷</v>
      </c>
      <c r="C12" s="1">
        <v>6.0</v>
      </c>
      <c r="D12" s="18">
        <f t="array" ref="D12">XLOOKUP(C12,'作品サブタイトル'!$A$2:$A$32,'作品サブタイトル'!$B$2:$B$32,0)</f>
        <v>2002</v>
      </c>
      <c r="E12" s="18">
        <f t="array" ref="E12">xlookup(C12,'作品サブタイトル'!A$2:A$32,'作品サブタイトル'!E$2:E$32)</f>
        <v>1</v>
      </c>
      <c r="F12" s="19">
        <v>0.0</v>
      </c>
      <c r="G12" s="19">
        <v>0.0</v>
      </c>
      <c r="H12" s="1">
        <v>7.0</v>
      </c>
      <c r="N12" s="1">
        <v>10.0</v>
      </c>
    </row>
    <row r="13">
      <c r="A13" s="3" t="s">
        <v>86</v>
      </c>
      <c r="B13" s="17" t="str">
        <f t="array" ref="B13">XLOOKUP(C13,'作品サブタイトル'!$A$2:$A$32,'作品サブタイトル'!$F$2:$F$32,0)</f>
        <v>妖々夢</v>
      </c>
      <c r="C13" s="1">
        <v>7.0</v>
      </c>
      <c r="D13" s="18">
        <f t="array" ref="D13">XLOOKUP(C13,'作品サブタイトル'!$A$2:$A$32,'作品サブタイトル'!$B$2:$B$32,0)</f>
        <v>2003</v>
      </c>
      <c r="E13" s="18">
        <f t="array" ref="E13">xlookup(C13,'作品サブタイトル'!A$2:A$32,'作品サブタイトル'!E$2:E$32)</f>
        <v>2</v>
      </c>
      <c r="F13" s="19">
        <v>0.0</v>
      </c>
      <c r="G13" s="19">
        <v>0.0</v>
      </c>
      <c r="H13" s="1">
        <v>1.0</v>
      </c>
      <c r="N13" s="1">
        <v>11.0</v>
      </c>
    </row>
    <row r="14">
      <c r="A14" s="3" t="s">
        <v>88</v>
      </c>
      <c r="B14" s="17" t="str">
        <f t="array" ref="B14">XLOOKUP(C14,'作品サブタイトル'!$A$2:$A$32,'作品サブタイトル'!$F$2:$F$32,0)</f>
        <v>妖々夢</v>
      </c>
      <c r="C14" s="1">
        <v>7.0</v>
      </c>
      <c r="D14" s="18">
        <f t="array" ref="D14">XLOOKUP(C14,'作品サブタイトル'!$A$2:$A$32,'作品サブタイトル'!$B$2:$B$32,0)</f>
        <v>2003</v>
      </c>
      <c r="E14" s="18">
        <f t="array" ref="E14">xlookup(C14,'作品サブタイトル'!A$2:A$32,'作品サブタイトル'!E$2:E$32)</f>
        <v>2</v>
      </c>
      <c r="F14" s="19">
        <v>0.0</v>
      </c>
      <c r="G14" s="19">
        <v>0.0</v>
      </c>
      <c r="H14" s="1">
        <v>2.0</v>
      </c>
      <c r="N14" s="1">
        <v>12.0</v>
      </c>
    </row>
    <row r="15">
      <c r="A15" s="3" t="s">
        <v>94</v>
      </c>
      <c r="B15" s="17" t="str">
        <f t="array" ref="B15">XLOOKUP(C15,'作品サブタイトル'!$A$2:$A$32,'作品サブタイトル'!$F$2:$F$32,0)</f>
        <v>怪綺談</v>
      </c>
      <c r="C15" s="1">
        <v>5.0</v>
      </c>
      <c r="D15" s="18">
        <f t="array" ref="D15">XLOOKUP(C15,'作品サブタイトル'!$A$2:$A$32,'作品サブタイトル'!$B$2:$B$32,0)</f>
        <v>1998</v>
      </c>
      <c r="E15" s="18">
        <f t="array" ref="E15">xlookup(C15,'作品サブタイトル'!A$2:A$32,'作品サブタイトル'!E$2:E$32)</f>
        <v>1</v>
      </c>
      <c r="F15" s="19">
        <v>0.0</v>
      </c>
      <c r="G15" s="19">
        <v>0.0</v>
      </c>
      <c r="H15" s="1">
        <v>3.0</v>
      </c>
      <c r="N15" s="1">
        <v>13.0</v>
      </c>
    </row>
    <row r="16">
      <c r="A16" s="3" t="s">
        <v>97</v>
      </c>
      <c r="B16" s="17" t="str">
        <f t="array" ref="B16">XLOOKUP(C16,'作品サブタイトル'!$A$2:$A$32,'作品サブタイトル'!$F$2:$F$32,0)</f>
        <v>妖々夢</v>
      </c>
      <c r="C16" s="1">
        <v>7.0</v>
      </c>
      <c r="D16" s="18">
        <f t="array" ref="D16">XLOOKUP(C16,'作品サブタイトル'!$A$2:$A$32,'作品サブタイトル'!$B$2:$B$32,0)</f>
        <v>2003</v>
      </c>
      <c r="E16" s="18">
        <f t="array" ref="E16">xlookup(C16,'作品サブタイトル'!A$2:A$32,'作品サブタイトル'!E$2:E$32)</f>
        <v>2</v>
      </c>
      <c r="F16" s="19">
        <v>0.0</v>
      </c>
      <c r="G16" s="19">
        <v>0.0</v>
      </c>
      <c r="H16" s="1">
        <v>4.0</v>
      </c>
      <c r="N16" s="1">
        <v>14.0</v>
      </c>
    </row>
    <row r="17">
      <c r="A17" s="3" t="s">
        <v>100</v>
      </c>
      <c r="B17" s="17" t="str">
        <f t="array" ref="B17">XLOOKUP(C17,'作品サブタイトル'!$A$2:$A$32,'作品サブタイトル'!$F$2:$F$32,0)</f>
        <v>妖々夢</v>
      </c>
      <c r="C17" s="1">
        <v>7.0</v>
      </c>
      <c r="D17" s="18">
        <f t="array" ref="D17">XLOOKUP(C17,'作品サブタイトル'!$A$2:$A$32,'作品サブタイトル'!$B$2:$B$32,0)</f>
        <v>2003</v>
      </c>
      <c r="E17" s="18">
        <f t="array" ref="E17">xlookup(C17,'作品サブタイトル'!A$2:A$32,'作品サブタイトル'!E$2:E$32)</f>
        <v>2</v>
      </c>
      <c r="F17" s="19">
        <v>0.0</v>
      </c>
      <c r="G17" s="19">
        <v>0.0</v>
      </c>
      <c r="H17" s="1">
        <v>4.0</v>
      </c>
      <c r="N17" s="1">
        <v>15.0</v>
      </c>
    </row>
    <row r="18">
      <c r="A18" s="3" t="s">
        <v>103</v>
      </c>
      <c r="B18" s="17" t="str">
        <f t="array" ref="B18">XLOOKUP(C18,'作品サブタイトル'!$A$2:$A$32,'作品サブタイトル'!$F$2:$F$32,0)</f>
        <v>妖々夢</v>
      </c>
      <c r="C18" s="1">
        <v>7.0</v>
      </c>
      <c r="D18" s="18">
        <f t="array" ref="D18">XLOOKUP(C18,'作品サブタイトル'!$A$2:$A$32,'作品サブタイトル'!$B$2:$B$32,0)</f>
        <v>2003</v>
      </c>
      <c r="E18" s="18">
        <f t="array" ref="E18">xlookup(C18,'作品サブタイトル'!A$2:A$32,'作品サブタイトル'!E$2:E$32)</f>
        <v>2</v>
      </c>
      <c r="F18" s="19">
        <v>0.0</v>
      </c>
      <c r="G18" s="19">
        <v>0.0</v>
      </c>
      <c r="H18" s="1">
        <v>4.0</v>
      </c>
      <c r="N18" s="1">
        <v>16.0</v>
      </c>
    </row>
    <row r="19">
      <c r="A19" s="3" t="s">
        <v>104</v>
      </c>
      <c r="B19" s="17" t="str">
        <f t="array" ref="B19">XLOOKUP(C19,'作品サブタイトル'!$A$2:$A$32,'作品サブタイトル'!$F$2:$F$32,0)</f>
        <v>妖々夢</v>
      </c>
      <c r="C19" s="1">
        <v>7.0</v>
      </c>
      <c r="D19" s="18">
        <f t="array" ref="D19">XLOOKUP(C19,'作品サブタイトル'!$A$2:$A$32,'作品サブタイトル'!$B$2:$B$32,0)</f>
        <v>2003</v>
      </c>
      <c r="E19" s="18">
        <f t="array" ref="E19">xlookup(C19,'作品サブタイトル'!A$2:A$32,'作品サブタイトル'!E$2:E$32)</f>
        <v>2</v>
      </c>
      <c r="F19" s="19">
        <v>0.0</v>
      </c>
      <c r="G19" s="19">
        <v>0.0</v>
      </c>
      <c r="H19" s="1">
        <v>4.0</v>
      </c>
      <c r="N19" s="1">
        <v>17.0</v>
      </c>
    </row>
    <row r="20">
      <c r="A20" s="3" t="s">
        <v>106</v>
      </c>
      <c r="B20" s="17" t="str">
        <f t="array" ref="B20">XLOOKUP(C20,'作品サブタイトル'!$A$2:$A$32,'作品サブタイトル'!$F$2:$F$32,0)</f>
        <v>妖々夢</v>
      </c>
      <c r="C20" s="1">
        <v>7.0</v>
      </c>
      <c r="D20" s="18">
        <f t="array" ref="D20">XLOOKUP(C20,'作品サブタイトル'!$A$2:$A$32,'作品サブタイトル'!$B$2:$B$32,0)</f>
        <v>2003</v>
      </c>
      <c r="E20" s="18">
        <f t="array" ref="E20">xlookup(C20,'作品サブタイトル'!A$2:A$32,'作品サブタイトル'!E$2:E$32)</f>
        <v>2</v>
      </c>
      <c r="F20" s="19">
        <v>0.0</v>
      </c>
      <c r="G20" s="19">
        <v>0.0</v>
      </c>
      <c r="H20" s="1">
        <v>5.0</v>
      </c>
      <c r="N20" s="1">
        <v>18.0</v>
      </c>
    </row>
    <row r="21">
      <c r="A21" s="3" t="s">
        <v>108</v>
      </c>
      <c r="B21" s="17" t="str">
        <f t="array" ref="B21">XLOOKUP(C21,'作品サブタイトル'!$A$2:$A$32,'作品サブタイトル'!$F$2:$F$32,0)</f>
        <v>妖々夢</v>
      </c>
      <c r="C21" s="1">
        <v>7.0</v>
      </c>
      <c r="D21" s="18">
        <f t="array" ref="D21">XLOOKUP(C21,'作品サブタイトル'!$A$2:$A$32,'作品サブタイトル'!$B$2:$B$32,0)</f>
        <v>2003</v>
      </c>
      <c r="E21" s="18">
        <f t="array" ref="E21">xlookup(C21,'作品サブタイトル'!A$2:A$32,'作品サブタイトル'!E$2:E$32)</f>
        <v>2</v>
      </c>
      <c r="F21" s="19">
        <v>0.0</v>
      </c>
      <c r="G21" s="19">
        <v>0.0</v>
      </c>
      <c r="H21" s="1">
        <v>6.0</v>
      </c>
      <c r="N21" s="1">
        <v>19.0</v>
      </c>
    </row>
    <row r="22">
      <c r="A22" s="3" t="s">
        <v>112</v>
      </c>
      <c r="B22" s="17" t="str">
        <f t="array" ref="B22">XLOOKUP(C22,'作品サブタイトル'!$A$2:$A$32,'作品サブタイトル'!$F$2:$F$32,0)</f>
        <v>妖々夢</v>
      </c>
      <c r="C22" s="1">
        <v>7.0</v>
      </c>
      <c r="D22" s="18">
        <f t="array" ref="D22">XLOOKUP(C22,'作品サブタイトル'!$A$2:$A$32,'作品サブタイトル'!$B$2:$B$32,0)</f>
        <v>2003</v>
      </c>
      <c r="E22" s="18">
        <f t="array" ref="E22">xlookup(C22,'作品サブタイトル'!A$2:A$32,'作品サブタイトル'!E$2:E$32)</f>
        <v>2</v>
      </c>
      <c r="F22" s="19">
        <v>0.0</v>
      </c>
      <c r="G22" s="19">
        <v>0.0</v>
      </c>
      <c r="H22" s="1">
        <v>7.0</v>
      </c>
      <c r="N22" s="1">
        <v>20.0</v>
      </c>
    </row>
    <row r="23">
      <c r="A23" s="3" t="s">
        <v>116</v>
      </c>
      <c r="B23" s="17" t="str">
        <f t="array" ref="B23">XLOOKUP(C23,'作品サブタイトル'!$A$2:$A$32,'作品サブタイトル'!$F$2:$F$32,0)</f>
        <v>妖々夢</v>
      </c>
      <c r="C23" s="1">
        <v>7.0</v>
      </c>
      <c r="D23" s="18">
        <f t="array" ref="D23">XLOOKUP(C23,'作品サブタイトル'!$A$2:$A$32,'作品サブタイトル'!$B$2:$B$32,0)</f>
        <v>2003</v>
      </c>
      <c r="E23" s="18">
        <f t="array" ref="E23">xlookup(C23,'作品サブタイトル'!A$2:A$32,'作品サブタイトル'!E$2:E$32)</f>
        <v>2</v>
      </c>
      <c r="F23" s="19">
        <v>0.0</v>
      </c>
      <c r="G23" s="19">
        <v>0.0</v>
      </c>
      <c r="H23" s="1">
        <v>8.0</v>
      </c>
      <c r="N23" s="1">
        <v>21.0</v>
      </c>
    </row>
    <row r="24">
      <c r="A24" s="3" t="s">
        <v>120</v>
      </c>
      <c r="B24" s="17" t="str">
        <f t="array" ref="B24">XLOOKUP(C24,'作品サブタイトル'!$A$2:$A$32,'作品サブタイトル'!$F$2:$F$32,0)</f>
        <v>永夜抄</v>
      </c>
      <c r="C24" s="1">
        <v>8.0</v>
      </c>
      <c r="D24" s="18">
        <f t="array" ref="D24">XLOOKUP(C24,'作品サブタイトル'!$A$2:$A$32,'作品サブタイトル'!$B$2:$B$32,0)</f>
        <v>2004</v>
      </c>
      <c r="E24" s="18">
        <f t="array" ref="E24">xlookup(C24,'作品サブタイトル'!A$2:A$32,'作品サブタイトル'!E$2:E$32)</f>
        <v>2</v>
      </c>
      <c r="F24" s="19">
        <v>0.0</v>
      </c>
      <c r="G24" s="19">
        <v>0.0</v>
      </c>
      <c r="H24" s="1">
        <v>1.0</v>
      </c>
      <c r="N24" s="1">
        <v>22.0</v>
      </c>
    </row>
    <row r="25">
      <c r="A25" s="3" t="s">
        <v>121</v>
      </c>
      <c r="B25" s="17" t="str">
        <f t="array" ref="B25">XLOOKUP(C25,'作品サブタイトル'!$A$2:$A$32,'作品サブタイトル'!$F$2:$F$32,0)</f>
        <v>永夜抄</v>
      </c>
      <c r="C25" s="1">
        <v>8.0</v>
      </c>
      <c r="D25" s="18">
        <f t="array" ref="D25">XLOOKUP(C25,'作品サブタイトル'!$A$2:$A$32,'作品サブタイトル'!$B$2:$B$32,0)</f>
        <v>2004</v>
      </c>
      <c r="E25" s="18">
        <f t="array" ref="E25">xlookup(C25,'作品サブタイトル'!A$2:A$32,'作品サブタイトル'!E$2:E$32)</f>
        <v>2</v>
      </c>
      <c r="F25" s="19">
        <v>0.0</v>
      </c>
      <c r="G25" s="19">
        <v>0.0</v>
      </c>
      <c r="H25" s="1">
        <v>2.0</v>
      </c>
      <c r="N25" s="1">
        <v>23.0</v>
      </c>
    </row>
    <row r="26">
      <c r="A26" s="3" t="s">
        <v>123</v>
      </c>
      <c r="B26" s="17" t="str">
        <f t="array" ref="B26">XLOOKUP(C26,'作品サブタイトル'!$A$2:$A$32,'作品サブタイトル'!$F$2:$F$32,0)</f>
        <v>永夜抄</v>
      </c>
      <c r="C26" s="1">
        <v>8.0</v>
      </c>
      <c r="D26" s="18">
        <f t="array" ref="D26">XLOOKUP(C26,'作品サブタイトル'!$A$2:$A$32,'作品サブタイトル'!$B$2:$B$32,0)</f>
        <v>2004</v>
      </c>
      <c r="E26" s="18">
        <f t="array" ref="E26">xlookup(C26,'作品サブタイトル'!A$2:A$32,'作品サブタイトル'!E$2:E$32)</f>
        <v>2</v>
      </c>
      <c r="F26" s="19">
        <v>0.0</v>
      </c>
      <c r="G26" s="19">
        <v>0.0</v>
      </c>
      <c r="H26" s="1">
        <v>3.0</v>
      </c>
      <c r="N26" s="1">
        <v>24.0</v>
      </c>
    </row>
    <row r="27">
      <c r="A27" s="3" t="s">
        <v>127</v>
      </c>
      <c r="B27" s="17" t="str">
        <f t="array" ref="B27">XLOOKUP(C27,'作品サブタイトル'!$A$2:$A$32,'作品サブタイトル'!$F$2:$F$32,0)</f>
        <v>永夜抄</v>
      </c>
      <c r="C27" s="1">
        <v>8.0</v>
      </c>
      <c r="D27" s="18">
        <f t="array" ref="D27">XLOOKUP(C27,'作品サブタイトル'!$A$2:$A$32,'作品サブタイトル'!$B$2:$B$32,0)</f>
        <v>2004</v>
      </c>
      <c r="E27" s="18">
        <f t="array" ref="E27">xlookup(C27,'作品サブタイトル'!A$2:A$32,'作品サブタイトル'!E$2:E$32)</f>
        <v>2</v>
      </c>
      <c r="F27" s="19">
        <v>0.0</v>
      </c>
      <c r="G27" s="19">
        <v>0.0</v>
      </c>
      <c r="H27" s="1">
        <v>5.0</v>
      </c>
      <c r="N27" s="1">
        <v>25.0</v>
      </c>
    </row>
    <row r="28">
      <c r="A28" s="3" t="s">
        <v>132</v>
      </c>
      <c r="B28" s="17" t="str">
        <f t="array" ref="B28">XLOOKUP(C28,'作品サブタイトル'!$A$2:$A$32,'作品サブタイトル'!$F$2:$F$32,0)</f>
        <v>永夜抄</v>
      </c>
      <c r="C28" s="1">
        <v>8.0</v>
      </c>
      <c r="D28" s="18">
        <f t="array" ref="D28">XLOOKUP(C28,'作品サブタイトル'!$A$2:$A$32,'作品サブタイトル'!$B$2:$B$32,0)</f>
        <v>2004</v>
      </c>
      <c r="E28" s="18">
        <f t="array" ref="E28">xlookup(C28,'作品サブタイトル'!A$2:A$32,'作品サブタイトル'!E$2:E$32)</f>
        <v>2</v>
      </c>
      <c r="F28" s="19">
        <v>0.0</v>
      </c>
      <c r="G28" s="19">
        <v>0.0</v>
      </c>
      <c r="H28" s="1">
        <v>5.0</v>
      </c>
      <c r="N28" s="1">
        <v>26.0</v>
      </c>
    </row>
    <row r="29">
      <c r="A29" s="3" t="s">
        <v>136</v>
      </c>
      <c r="B29" s="17" t="str">
        <f t="array" ref="B29">XLOOKUP(C29,'作品サブタイトル'!$A$2:$A$32,'作品サブタイトル'!$F$2:$F$32,0)</f>
        <v>永夜抄</v>
      </c>
      <c r="C29" s="1">
        <v>8.0</v>
      </c>
      <c r="D29" s="18">
        <f t="array" ref="D29">XLOOKUP(C29,'作品サブタイトル'!$A$2:$A$32,'作品サブタイトル'!$B$2:$B$32,0)</f>
        <v>2004</v>
      </c>
      <c r="E29" s="18">
        <f t="array" ref="E29">xlookup(C29,'作品サブタイトル'!A$2:A$32,'作品サブタイトル'!E$2:E$32)</f>
        <v>2</v>
      </c>
      <c r="F29" s="19">
        <v>0.0</v>
      </c>
      <c r="G29" s="19">
        <v>0.0</v>
      </c>
      <c r="H29" s="1">
        <v>6.0</v>
      </c>
      <c r="N29" s="1">
        <v>27.0</v>
      </c>
    </row>
    <row r="30">
      <c r="A30" s="3" t="s">
        <v>143</v>
      </c>
      <c r="B30" s="17" t="str">
        <f t="array" ref="B30">XLOOKUP(C30,'作品サブタイトル'!$A$2:$A$32,'作品サブタイトル'!$F$2:$F$32,0)</f>
        <v>永夜抄</v>
      </c>
      <c r="C30" s="1">
        <v>8.0</v>
      </c>
      <c r="D30" s="18">
        <f t="array" ref="D30">XLOOKUP(C30,'作品サブタイトル'!$A$2:$A$32,'作品サブタイトル'!$B$2:$B$32,0)</f>
        <v>2004</v>
      </c>
      <c r="E30" s="18">
        <f t="array" ref="E30">xlookup(C30,'作品サブタイトル'!A$2:A$32,'作品サブタイトル'!E$2:E$32)</f>
        <v>2</v>
      </c>
      <c r="F30" s="19">
        <v>0.0</v>
      </c>
      <c r="G30" s="19">
        <v>0.0</v>
      </c>
      <c r="H30" s="1">
        <v>7.0</v>
      </c>
      <c r="N30" s="1">
        <v>28.0</v>
      </c>
    </row>
    <row r="31">
      <c r="A31" s="3" t="s">
        <v>146</v>
      </c>
      <c r="B31" s="17" t="str">
        <f t="array" ref="B31">XLOOKUP(C31,'作品サブタイトル'!$A$2:$A$32,'作品サブタイトル'!$F$2:$F$32,0)</f>
        <v>永夜抄</v>
      </c>
      <c r="C31" s="1">
        <v>8.0</v>
      </c>
      <c r="D31" s="18">
        <f t="array" ref="D31">XLOOKUP(C31,'作品サブタイトル'!$A$2:$A$32,'作品サブタイトル'!$B$2:$B$32,0)</f>
        <v>2004</v>
      </c>
      <c r="E31" s="18">
        <f t="array" ref="E31">xlookup(C31,'作品サブタイトル'!A$2:A$32,'作品サブタイトル'!E$2:E$32)</f>
        <v>2</v>
      </c>
      <c r="F31" s="19">
        <v>0.0</v>
      </c>
      <c r="G31" s="19">
        <v>0.0</v>
      </c>
      <c r="H31" s="1">
        <v>8.0</v>
      </c>
      <c r="N31" s="1">
        <v>29.0</v>
      </c>
    </row>
    <row r="32">
      <c r="A32" s="3" t="s">
        <v>147</v>
      </c>
      <c r="B32" s="17" t="str">
        <f t="array" ref="B32">XLOOKUP(C32,'作品サブタイトル'!$A$2:$A$32,'作品サブタイトル'!$F$2:$F$32,0)</f>
        <v>萃夢想</v>
      </c>
      <c r="C32" s="1">
        <v>7.5</v>
      </c>
      <c r="D32" s="18">
        <f t="array" ref="D32">XLOOKUP(C32,'作品サブタイトル'!$A$2:$A$32,'作品サブタイトル'!$B$2:$B$32,0)</f>
        <v>2004</v>
      </c>
      <c r="E32" s="18">
        <f t="array" ref="E32">xlookup(C32,'作品サブタイトル'!A$2:A$32,'作品サブタイトル'!E$2:E$32)</f>
        <v>3</v>
      </c>
      <c r="F32" s="19">
        <v>0.0</v>
      </c>
      <c r="G32" s="19">
        <v>0.0</v>
      </c>
      <c r="H32" s="1">
        <v>0.0</v>
      </c>
      <c r="N32" s="1">
        <v>30.0</v>
      </c>
    </row>
    <row r="33">
      <c r="A33" s="3" t="s">
        <v>149</v>
      </c>
      <c r="B33" s="17" t="str">
        <f t="array" ref="B33">XLOOKUP(C33,'作品サブタイトル'!$A$2:$A$32,'作品サブタイトル'!$F$2:$F$32,0)</f>
        <v>花映塚</v>
      </c>
      <c r="C33" s="1">
        <v>9.0</v>
      </c>
      <c r="D33" s="18">
        <f t="array" ref="D33">XLOOKUP(C33,'作品サブタイトル'!$A$2:$A$32,'作品サブタイトル'!$B$2:$B$32,0)</f>
        <v>2005</v>
      </c>
      <c r="E33" s="18">
        <f t="array" ref="E33">xlookup(C33,'作品サブタイトル'!A$2:A$32,'作品サブタイトル'!E$2:E$32)</f>
        <v>4</v>
      </c>
      <c r="F33" s="19">
        <v>0.0</v>
      </c>
      <c r="G33" s="19">
        <v>0.0</v>
      </c>
      <c r="H33" s="1">
        <v>7.0</v>
      </c>
      <c r="I33" s="1">
        <v>1.0</v>
      </c>
      <c r="J33" s="1">
        <v>1.0</v>
      </c>
      <c r="N33" s="1">
        <v>31.0</v>
      </c>
    </row>
    <row r="34">
      <c r="A34" s="3" t="s">
        <v>154</v>
      </c>
      <c r="B34" s="17" t="str">
        <f t="array" ref="B34">XLOOKUP(C34,'作品サブタイトル'!$A$2:$A$32,'作品サブタイトル'!$F$2:$F$32,0)</f>
        <v>花映塚</v>
      </c>
      <c r="C34" s="1">
        <v>9.0</v>
      </c>
      <c r="D34" s="18">
        <f t="array" ref="D34">XLOOKUP(C34,'作品サブタイトル'!$A$2:$A$32,'作品サブタイトル'!$B$2:$B$32,0)</f>
        <v>2005</v>
      </c>
      <c r="E34" s="18">
        <f t="array" ref="E34">xlookup(C34,'作品サブタイトル'!A$2:A$32,'作品サブタイトル'!E$2:E$32)</f>
        <v>4</v>
      </c>
      <c r="F34" s="19">
        <v>0.0</v>
      </c>
      <c r="G34" s="19">
        <v>0.0</v>
      </c>
      <c r="H34" s="1">
        <v>4.0</v>
      </c>
      <c r="I34" s="1">
        <v>1.0</v>
      </c>
      <c r="N34" s="1">
        <v>32.0</v>
      </c>
    </row>
    <row r="35">
      <c r="A35" s="3" t="s">
        <v>155</v>
      </c>
      <c r="B35" s="17" t="str">
        <f t="array" ref="B35">XLOOKUP(C35,'作品サブタイトル'!$A$2:$A$32,'作品サブタイトル'!$F$2:$F$32,0)</f>
        <v>幻想郷</v>
      </c>
      <c r="C35" s="1">
        <v>4.0</v>
      </c>
      <c r="D35" s="18">
        <f t="array" ref="D35">XLOOKUP(C35,'作品サブタイトル'!$A$2:$A$32,'作品サブタイトル'!$B$2:$B$32,0)</f>
        <v>1998</v>
      </c>
      <c r="E35" s="18">
        <f t="array" ref="E35">xlookup(C35,'作品サブタイトル'!A$2:A$32,'作品サブタイトル'!E$2:E$32)</f>
        <v>1</v>
      </c>
      <c r="F35" s="19">
        <v>0.0</v>
      </c>
      <c r="G35" s="19">
        <v>0.0</v>
      </c>
      <c r="H35" s="1">
        <v>8.0</v>
      </c>
      <c r="I35" s="1">
        <v>1.0</v>
      </c>
      <c r="N35" s="1">
        <v>33.0</v>
      </c>
    </row>
    <row r="36">
      <c r="A36" s="3" t="s">
        <v>157</v>
      </c>
      <c r="B36" s="17" t="str">
        <f t="array" ref="B36">XLOOKUP(C36,'作品サブタイトル'!$A$2:$A$32,'作品サブタイトル'!$F$2:$F$32,0)</f>
        <v>花映塚</v>
      </c>
      <c r="C36" s="1">
        <v>9.0</v>
      </c>
      <c r="D36" s="18">
        <f t="array" ref="D36">XLOOKUP(C36,'作品サブタイトル'!$A$2:$A$32,'作品サブタイトル'!$B$2:$B$32,0)</f>
        <v>2005</v>
      </c>
      <c r="E36" s="18">
        <f t="array" ref="E36">xlookup(C36,'作品サブタイトル'!A$2:A$32,'作品サブタイトル'!E$2:E$32)</f>
        <v>4</v>
      </c>
      <c r="F36" s="19">
        <v>0.0</v>
      </c>
      <c r="G36" s="19">
        <v>0.0</v>
      </c>
      <c r="H36" s="1">
        <v>8.0</v>
      </c>
      <c r="I36" s="1">
        <v>1.0</v>
      </c>
      <c r="N36" s="1">
        <v>34.0</v>
      </c>
    </row>
    <row r="37">
      <c r="A37" s="3" t="s">
        <v>159</v>
      </c>
      <c r="B37" s="17" t="str">
        <f t="array" ref="B37">XLOOKUP(C37,'作品サブタイトル'!$A$2:$A$32,'作品サブタイトル'!$F$2:$F$32,0)</f>
        <v>花映塚</v>
      </c>
      <c r="C37" s="1">
        <v>9.0</v>
      </c>
      <c r="D37" s="18">
        <f t="array" ref="D37">XLOOKUP(C37,'作品サブタイトル'!$A$2:$A$32,'作品サブタイトル'!$B$2:$B$32,0)</f>
        <v>2005</v>
      </c>
      <c r="E37" s="18">
        <f t="array" ref="E37">xlookup(C37,'作品サブタイトル'!A$2:A$32,'作品サブタイトル'!E$2:E$32)</f>
        <v>4</v>
      </c>
      <c r="F37" s="19">
        <v>0.0</v>
      </c>
      <c r="G37" s="19">
        <v>0.0</v>
      </c>
      <c r="H37" s="1">
        <v>9.0</v>
      </c>
      <c r="I37" s="1">
        <v>1.0</v>
      </c>
      <c r="N37" s="1">
        <v>35.0</v>
      </c>
    </row>
    <row r="38">
      <c r="A38" s="3" t="s">
        <v>161</v>
      </c>
      <c r="B38" s="17" t="str">
        <f t="array" ref="B38">XLOOKUP(C38,'作品サブタイトル'!$A$2:$A$32,'作品サブタイトル'!$F$2:$F$32,0)</f>
        <v>風神録</v>
      </c>
      <c r="C38" s="1">
        <v>10.0</v>
      </c>
      <c r="D38" s="18">
        <f t="array" ref="D38">XLOOKUP(C38,'作品サブタイトル'!$A$2:$A$32,'作品サブタイトル'!$B$2:$B$32,0)</f>
        <v>2007</v>
      </c>
      <c r="E38" s="18">
        <f t="array" ref="E38">xlookup(C38,'作品サブタイトル'!A$2:A$32,'作品サブタイトル'!E$2:E$32)</f>
        <v>5</v>
      </c>
      <c r="F38" s="19">
        <v>0.0</v>
      </c>
      <c r="G38" s="19">
        <v>0.0</v>
      </c>
      <c r="H38" s="1">
        <v>1.0</v>
      </c>
      <c r="N38" s="1">
        <v>36.0</v>
      </c>
    </row>
    <row r="39">
      <c r="A39" s="3" t="s">
        <v>163</v>
      </c>
      <c r="B39" s="17" t="str">
        <f t="array" ref="B39">XLOOKUP(C39,'作品サブタイトル'!$A$2:$A$32,'作品サブタイトル'!$F$2:$F$32,0)</f>
        <v>風神録</v>
      </c>
      <c r="C39" s="1">
        <v>10.0</v>
      </c>
      <c r="D39" s="18">
        <f t="array" ref="D39">XLOOKUP(C39,'作品サブタイトル'!$A$2:$A$32,'作品サブタイトル'!$B$2:$B$32,0)</f>
        <v>2007</v>
      </c>
      <c r="E39" s="18">
        <f t="array" ref="E39">xlookup(C39,'作品サブタイトル'!A$2:A$32,'作品サブタイトル'!E$2:E$32)</f>
        <v>5</v>
      </c>
      <c r="F39" s="19">
        <v>0.0</v>
      </c>
      <c r="G39" s="19">
        <v>0.0</v>
      </c>
      <c r="H39" s="1">
        <v>1.0</v>
      </c>
      <c r="N39" s="1">
        <v>37.0</v>
      </c>
    </row>
    <row r="40">
      <c r="A40" s="3" t="s">
        <v>164</v>
      </c>
      <c r="B40" s="17" t="str">
        <f t="array" ref="B40">XLOOKUP(C40,'作品サブタイトル'!$A$2:$A$32,'作品サブタイトル'!$F$2:$F$32,0)</f>
        <v>風神録</v>
      </c>
      <c r="C40" s="1">
        <v>10.0</v>
      </c>
      <c r="D40" s="18">
        <f t="array" ref="D40">XLOOKUP(C40,'作品サブタイトル'!$A$2:$A$32,'作品サブタイトル'!$B$2:$B$32,0)</f>
        <v>2007</v>
      </c>
      <c r="E40" s="18">
        <f t="array" ref="E40">xlookup(C40,'作品サブタイトル'!A$2:A$32,'作品サブタイトル'!E$2:E$32)</f>
        <v>5</v>
      </c>
      <c r="F40" s="19">
        <v>0.0</v>
      </c>
      <c r="G40" s="19">
        <v>0.0</v>
      </c>
      <c r="H40" s="1">
        <v>2.0</v>
      </c>
      <c r="N40" s="1">
        <v>38.0</v>
      </c>
    </row>
    <row r="41">
      <c r="A41" s="3" t="s">
        <v>165</v>
      </c>
      <c r="B41" s="17" t="str">
        <f t="array" ref="B41">XLOOKUP(C41,'作品サブタイトル'!$A$2:$A$32,'作品サブタイトル'!$F$2:$F$32,0)</f>
        <v>風神録</v>
      </c>
      <c r="C41" s="1">
        <v>10.0</v>
      </c>
      <c r="D41" s="18">
        <f t="array" ref="D41">XLOOKUP(C41,'作品サブタイトル'!$A$2:$A$32,'作品サブタイトル'!$B$2:$B$32,0)</f>
        <v>2007</v>
      </c>
      <c r="E41" s="18">
        <f t="array" ref="E41">xlookup(C41,'作品サブタイトル'!A$2:A$32,'作品サブタイトル'!E$2:E$32)</f>
        <v>5</v>
      </c>
      <c r="F41" s="19">
        <v>0.0</v>
      </c>
      <c r="G41" s="19">
        <v>0.0</v>
      </c>
      <c r="H41" s="1">
        <v>3.0</v>
      </c>
      <c r="N41" s="1">
        <v>39.0</v>
      </c>
    </row>
    <row r="42">
      <c r="A42" s="3" t="s">
        <v>166</v>
      </c>
      <c r="B42" s="17" t="str">
        <f t="array" ref="B42">XLOOKUP(C42,'作品サブタイトル'!$A$2:$A$32,'作品サブタイトル'!$F$2:$F$32,0)</f>
        <v>風神録</v>
      </c>
      <c r="C42" s="1">
        <v>10.0</v>
      </c>
      <c r="D42" s="18">
        <f t="array" ref="D42">XLOOKUP(C42,'作品サブタイトル'!$A$2:$A$32,'作品サブタイトル'!$B$2:$B$32,0)</f>
        <v>2007</v>
      </c>
      <c r="E42" s="18">
        <f t="array" ref="E42">xlookup(C42,'作品サブタイトル'!A$2:A$32,'作品サブタイトル'!E$2:E$32)</f>
        <v>5</v>
      </c>
      <c r="F42" s="19">
        <v>0.0</v>
      </c>
      <c r="G42" s="19">
        <v>0.0</v>
      </c>
      <c r="H42" s="1">
        <v>4.0</v>
      </c>
      <c r="N42" s="1">
        <v>40.0</v>
      </c>
    </row>
    <row r="43">
      <c r="A43" s="3" t="s">
        <v>167</v>
      </c>
      <c r="B43" s="17" t="str">
        <f t="array" ref="B43">XLOOKUP(C43,'作品サブタイトル'!$A$2:$A$32,'作品サブタイトル'!$F$2:$F$32,0)</f>
        <v>風神録</v>
      </c>
      <c r="C43" s="1">
        <v>10.0</v>
      </c>
      <c r="D43" s="18">
        <f t="array" ref="D43">XLOOKUP(C43,'作品サブタイトル'!$A$2:$A$32,'作品サブタイトル'!$B$2:$B$32,0)</f>
        <v>2007</v>
      </c>
      <c r="E43" s="18">
        <f t="array" ref="E43">xlookup(C43,'作品サブタイトル'!A$2:A$32,'作品サブタイトル'!E$2:E$32)</f>
        <v>5</v>
      </c>
      <c r="F43" s="19">
        <v>0.0</v>
      </c>
      <c r="G43" s="19">
        <v>0.0</v>
      </c>
      <c r="H43" s="1">
        <v>5.0</v>
      </c>
      <c r="N43" s="1">
        <v>41.0</v>
      </c>
    </row>
    <row r="44">
      <c r="A44" s="3" t="s">
        <v>170</v>
      </c>
      <c r="B44" s="17" t="str">
        <f t="array" ref="B44">XLOOKUP(C44,'作品サブタイトル'!$A$2:$A$32,'作品サブタイトル'!$F$2:$F$32,0)</f>
        <v>風神録</v>
      </c>
      <c r="C44" s="1">
        <v>10.0</v>
      </c>
      <c r="D44" s="18">
        <f t="array" ref="D44">XLOOKUP(C44,'作品サブタイトル'!$A$2:$A$32,'作品サブタイトル'!$B$2:$B$32,0)</f>
        <v>2007</v>
      </c>
      <c r="E44" s="18">
        <f t="array" ref="E44">xlookup(C44,'作品サブタイトル'!A$2:A$32,'作品サブタイトル'!E$2:E$32)</f>
        <v>5</v>
      </c>
      <c r="F44" s="19">
        <v>0.0</v>
      </c>
      <c r="G44" s="19">
        <v>0.0</v>
      </c>
      <c r="H44" s="1">
        <v>6.0</v>
      </c>
      <c r="N44" s="1">
        <v>42.0</v>
      </c>
    </row>
    <row r="45">
      <c r="A45" s="3" t="s">
        <v>176</v>
      </c>
      <c r="B45" s="17" t="str">
        <f t="array" ref="B45">XLOOKUP(C45,'作品サブタイトル'!$A$2:$A$32,'作品サブタイトル'!$F$2:$F$32,0)</f>
        <v>風神録</v>
      </c>
      <c r="C45" s="1">
        <v>10.0</v>
      </c>
      <c r="D45" s="18">
        <f t="array" ref="D45">XLOOKUP(C45,'作品サブタイトル'!$A$2:$A$32,'作品サブタイトル'!$B$2:$B$32,0)</f>
        <v>2007</v>
      </c>
      <c r="E45" s="18">
        <f t="array" ref="E45">xlookup(C45,'作品サブタイトル'!A$2:A$32,'作品サブタイトル'!E$2:E$32)</f>
        <v>5</v>
      </c>
      <c r="F45" s="19">
        <v>0.0</v>
      </c>
      <c r="G45" s="19">
        <v>0.0</v>
      </c>
      <c r="H45" s="1">
        <v>7.0</v>
      </c>
      <c r="N45" s="1">
        <v>43.0</v>
      </c>
    </row>
    <row r="46">
      <c r="A46" s="3" t="s">
        <v>182</v>
      </c>
      <c r="B46" s="17" t="str">
        <f t="array" ref="B46">XLOOKUP(C46,'作品サブタイトル'!$A$2:$A$32,'作品サブタイトル'!$F$2:$F$32,0)</f>
        <v>緋想天</v>
      </c>
      <c r="C46" s="1">
        <v>10.5</v>
      </c>
      <c r="D46" s="18">
        <f t="array" ref="D46">XLOOKUP(C46,'作品サブタイトル'!$A$2:$A$32,'作品サブタイトル'!$B$2:$B$32,0)</f>
        <v>2008</v>
      </c>
      <c r="E46" s="18">
        <f t="array" ref="E46">xlookup(C46,'作品サブタイトル'!A$2:A$32,'作品サブタイトル'!E$2:E$32)</f>
        <v>5</v>
      </c>
      <c r="F46" s="19">
        <v>0.0</v>
      </c>
      <c r="G46" s="19">
        <v>0.0</v>
      </c>
      <c r="H46" s="1">
        <v>0.0</v>
      </c>
      <c r="J46" s="1">
        <v>1.0</v>
      </c>
      <c r="N46" s="1">
        <v>44.0</v>
      </c>
    </row>
    <row r="47">
      <c r="A47" s="3" t="s">
        <v>184</v>
      </c>
      <c r="B47" s="17" t="str">
        <f t="array" ref="B47">XLOOKUP(C47,'作品サブタイトル'!$A$2:$A$32,'作品サブタイトル'!$F$2:$F$32,0)</f>
        <v>緋想天</v>
      </c>
      <c r="C47" s="1">
        <v>10.5</v>
      </c>
      <c r="D47" s="18">
        <f t="array" ref="D47">XLOOKUP(C47,'作品サブタイトル'!$A$2:$A$32,'作品サブタイトル'!$B$2:$B$32,0)</f>
        <v>2008</v>
      </c>
      <c r="E47" s="18">
        <f t="array" ref="E47">xlookup(C47,'作品サブタイトル'!A$2:A$32,'作品サブタイトル'!E$2:E$32)</f>
        <v>5</v>
      </c>
      <c r="F47" s="19">
        <v>0.0</v>
      </c>
      <c r="G47" s="19">
        <v>0.0</v>
      </c>
      <c r="H47" s="1">
        <v>0.0</v>
      </c>
      <c r="J47" s="1">
        <v>1.0</v>
      </c>
      <c r="N47" s="1">
        <v>45.0</v>
      </c>
    </row>
    <row r="48">
      <c r="A48" s="3" t="s">
        <v>185</v>
      </c>
      <c r="B48" s="17" t="str">
        <f t="array" ref="B48">XLOOKUP(C48,'作品サブタイトル'!$A$2:$A$32,'作品サブタイトル'!$F$2:$F$32,0)</f>
        <v>地霊殿</v>
      </c>
      <c r="C48" s="1">
        <v>11.0</v>
      </c>
      <c r="D48" s="18">
        <f t="array" ref="D48">XLOOKUP(C48,'作品サブタイトル'!$A$2:$A$32,'作品サブタイトル'!$B$2:$B$32,0)</f>
        <v>2008</v>
      </c>
      <c r="E48" s="18">
        <f t="array" ref="E48">xlookup(C48,'作品サブタイトル'!A$2:A$32,'作品サブタイトル'!E$2:E$32)</f>
        <v>5</v>
      </c>
      <c r="F48" s="19">
        <v>0.0</v>
      </c>
      <c r="G48" s="19">
        <v>0.0</v>
      </c>
      <c r="H48" s="1">
        <v>1.0</v>
      </c>
      <c r="N48" s="1">
        <v>46.0</v>
      </c>
    </row>
    <row r="49">
      <c r="A49" s="3" t="s">
        <v>186</v>
      </c>
      <c r="B49" s="17" t="str">
        <f t="array" ref="B49">XLOOKUP(C49,'作品サブタイトル'!$A$2:$A$32,'作品サブタイトル'!$F$2:$F$32,0)</f>
        <v>地霊殿</v>
      </c>
      <c r="C49" s="1">
        <v>11.0</v>
      </c>
      <c r="D49" s="18">
        <f t="array" ref="D49">XLOOKUP(C49,'作品サブタイトル'!$A$2:$A$32,'作品サブタイトル'!$B$2:$B$32,0)</f>
        <v>2008</v>
      </c>
      <c r="E49" s="18">
        <f t="array" ref="E49">xlookup(C49,'作品サブタイトル'!A$2:A$32,'作品サブタイトル'!E$2:E$32)</f>
        <v>5</v>
      </c>
      <c r="F49" s="19">
        <v>0.0</v>
      </c>
      <c r="G49" s="19">
        <v>0.0</v>
      </c>
      <c r="H49" s="1">
        <v>1.0</v>
      </c>
      <c r="N49" s="1">
        <v>47.0</v>
      </c>
    </row>
    <row r="50">
      <c r="A50" s="3" t="s">
        <v>188</v>
      </c>
      <c r="B50" s="17" t="str">
        <f t="array" ref="B50">XLOOKUP(C50,'作品サブタイトル'!$A$2:$A$32,'作品サブタイトル'!$F$2:$F$32,0)</f>
        <v>地霊殿</v>
      </c>
      <c r="C50" s="1">
        <v>11.0</v>
      </c>
      <c r="D50" s="18">
        <f t="array" ref="D50">XLOOKUP(C50,'作品サブタイトル'!$A$2:$A$32,'作品サブタイトル'!$B$2:$B$32,0)</f>
        <v>2008</v>
      </c>
      <c r="E50" s="18">
        <f t="array" ref="E50">xlookup(C50,'作品サブタイトル'!A$2:A$32,'作品サブタイトル'!E$2:E$32)</f>
        <v>5</v>
      </c>
      <c r="F50" s="19">
        <v>0.0</v>
      </c>
      <c r="G50" s="19">
        <v>0.0</v>
      </c>
      <c r="H50" s="1">
        <v>2.0</v>
      </c>
      <c r="N50" s="1">
        <v>48.0</v>
      </c>
    </row>
    <row r="51">
      <c r="A51" s="3" t="s">
        <v>190</v>
      </c>
      <c r="B51" s="17" t="str">
        <f t="array" ref="B51">XLOOKUP(C51,'作品サブタイトル'!$A$2:$A$32,'作品サブタイトル'!$F$2:$F$32,0)</f>
        <v>地霊殿</v>
      </c>
      <c r="C51" s="1">
        <v>11.0</v>
      </c>
      <c r="D51" s="18">
        <f t="array" ref="D51">XLOOKUP(C51,'作品サブタイトル'!$A$2:$A$32,'作品サブタイトル'!$B$2:$B$32,0)</f>
        <v>2008</v>
      </c>
      <c r="E51" s="18">
        <f t="array" ref="E51">xlookup(C51,'作品サブタイトル'!A$2:A$32,'作品サブタイトル'!E$2:E$32)</f>
        <v>5</v>
      </c>
      <c r="F51" s="19">
        <v>0.0</v>
      </c>
      <c r="G51" s="19">
        <v>0.0</v>
      </c>
      <c r="H51" s="1">
        <v>3.0</v>
      </c>
      <c r="N51" s="1">
        <v>49.0</v>
      </c>
    </row>
    <row r="52">
      <c r="A52" s="3" t="s">
        <v>192</v>
      </c>
      <c r="B52" s="17" t="str">
        <f t="array" ref="B52">XLOOKUP(C52,'作品サブタイトル'!$A$2:$A$32,'作品サブタイトル'!$F$2:$F$32,0)</f>
        <v>地霊殿</v>
      </c>
      <c r="C52" s="1">
        <v>11.0</v>
      </c>
      <c r="D52" s="18">
        <f t="array" ref="D52">XLOOKUP(C52,'作品サブタイトル'!$A$2:$A$32,'作品サブタイトル'!$B$2:$B$32,0)</f>
        <v>2008</v>
      </c>
      <c r="E52" s="18">
        <f t="array" ref="E52">xlookup(C52,'作品サブタイトル'!A$2:A$32,'作品サブタイトル'!E$2:E$32)</f>
        <v>5</v>
      </c>
      <c r="F52" s="19">
        <v>0.0</v>
      </c>
      <c r="G52" s="19">
        <v>0.0</v>
      </c>
      <c r="H52" s="1">
        <v>4.0</v>
      </c>
      <c r="N52" s="1">
        <v>50.0</v>
      </c>
    </row>
    <row r="53">
      <c r="A53" s="3" t="s">
        <v>194</v>
      </c>
      <c r="B53" s="17" t="str">
        <f t="array" ref="B53">XLOOKUP(C53,'作品サブタイトル'!$A$2:$A$32,'作品サブタイトル'!$F$2:$F$32,0)</f>
        <v>地霊殿</v>
      </c>
      <c r="C53" s="1">
        <v>11.0</v>
      </c>
      <c r="D53" s="18">
        <f t="array" ref="D53">XLOOKUP(C53,'作品サブタイトル'!$A$2:$A$32,'作品サブタイトル'!$B$2:$B$32,0)</f>
        <v>2008</v>
      </c>
      <c r="E53" s="18">
        <f t="array" ref="E53">xlookup(C53,'作品サブタイトル'!A$2:A$32,'作品サブタイトル'!E$2:E$32)</f>
        <v>5</v>
      </c>
      <c r="F53" s="19">
        <v>0.0</v>
      </c>
      <c r="G53" s="19">
        <v>0.0</v>
      </c>
      <c r="H53" s="1">
        <v>5.0</v>
      </c>
      <c r="N53" s="1">
        <v>51.0</v>
      </c>
    </row>
    <row r="54">
      <c r="A54" s="3" t="s">
        <v>196</v>
      </c>
      <c r="B54" s="17" t="str">
        <f t="array" ref="B54">XLOOKUP(C54,'作品サブタイトル'!$A$2:$A$32,'作品サブタイトル'!$F$2:$F$32,0)</f>
        <v>地霊殿</v>
      </c>
      <c r="C54" s="1">
        <v>11.0</v>
      </c>
      <c r="D54" s="18">
        <f t="array" ref="D54">XLOOKUP(C54,'作品サブタイトル'!$A$2:$A$32,'作品サブタイトル'!$B$2:$B$32,0)</f>
        <v>2008</v>
      </c>
      <c r="E54" s="18">
        <f t="array" ref="E54">xlookup(C54,'作品サブタイトル'!A$2:A$32,'作品サブタイトル'!E$2:E$32)</f>
        <v>5</v>
      </c>
      <c r="F54" s="19">
        <v>0.0</v>
      </c>
      <c r="G54" s="19">
        <v>0.0</v>
      </c>
      <c r="H54" s="1">
        <v>6.0</v>
      </c>
      <c r="N54" s="1">
        <v>52.0</v>
      </c>
    </row>
    <row r="55">
      <c r="A55" s="3" t="s">
        <v>197</v>
      </c>
      <c r="B55" s="17" t="str">
        <f t="array" ref="B55">XLOOKUP(C55,'作品サブタイトル'!$A$2:$A$32,'作品サブタイトル'!$F$2:$F$32,0)</f>
        <v>地霊殿</v>
      </c>
      <c r="C55" s="1">
        <v>11.0</v>
      </c>
      <c r="D55" s="18">
        <f t="array" ref="D55">XLOOKUP(C55,'作品サブタイトル'!$A$2:$A$32,'作品サブタイトル'!$B$2:$B$32,0)</f>
        <v>2008</v>
      </c>
      <c r="E55" s="18">
        <f t="array" ref="E55">xlookup(C55,'作品サブタイトル'!A$2:A$32,'作品サブタイトル'!E$2:E$32)</f>
        <v>5</v>
      </c>
      <c r="F55" s="19">
        <v>0.0</v>
      </c>
      <c r="G55" s="19">
        <v>0.0</v>
      </c>
      <c r="H55" s="1">
        <v>7.0</v>
      </c>
      <c r="N55" s="1">
        <v>53.0</v>
      </c>
    </row>
    <row r="56">
      <c r="A56" s="3" t="s">
        <v>198</v>
      </c>
      <c r="B56" s="17" t="str">
        <f t="array" ref="B56">XLOOKUP(C56,'作品サブタイトル'!$A$2:$A$32,'作品サブタイトル'!$F$2:$F$32,0)</f>
        <v>星蓮船</v>
      </c>
      <c r="C56" s="1">
        <v>12.0</v>
      </c>
      <c r="D56" s="18">
        <f t="array" ref="D56">XLOOKUP(C56,'作品サブタイトル'!$A$2:$A$32,'作品サブタイトル'!$B$2:$B$32,0)</f>
        <v>2009</v>
      </c>
      <c r="E56" s="18">
        <f t="array" ref="E56">xlookup(C56,'作品サブタイトル'!A$2:A$32,'作品サブタイトル'!E$2:E$32)</f>
        <v>6</v>
      </c>
      <c r="F56" s="19">
        <v>0.0</v>
      </c>
      <c r="G56" s="19">
        <v>0.0</v>
      </c>
      <c r="H56" s="1">
        <v>1.0</v>
      </c>
      <c r="N56" s="1">
        <v>54.0</v>
      </c>
    </row>
    <row r="57">
      <c r="A57" s="3" t="s">
        <v>201</v>
      </c>
      <c r="B57" s="17" t="str">
        <f t="array" ref="B57">XLOOKUP(C57,'作品サブタイトル'!$A$2:$A$32,'作品サブタイトル'!$F$2:$F$32,0)</f>
        <v>星蓮船</v>
      </c>
      <c r="C57" s="1">
        <v>12.0</v>
      </c>
      <c r="D57" s="18">
        <f t="array" ref="D57">XLOOKUP(C57,'作品サブタイトル'!$A$2:$A$32,'作品サブタイトル'!$B$2:$B$32,0)</f>
        <v>2009</v>
      </c>
      <c r="E57" s="18">
        <f t="array" ref="E57">xlookup(C57,'作品サブタイトル'!A$2:A$32,'作品サブタイトル'!E$2:E$32)</f>
        <v>6</v>
      </c>
      <c r="F57" s="19">
        <v>0.0</v>
      </c>
      <c r="G57" s="19">
        <v>0.0</v>
      </c>
      <c r="H57" s="1">
        <v>2.0</v>
      </c>
      <c r="N57" s="1">
        <v>55.0</v>
      </c>
    </row>
    <row r="58">
      <c r="A58" s="3" t="s">
        <v>204</v>
      </c>
      <c r="B58" s="17" t="str">
        <f t="array" ref="B58">XLOOKUP(C58,'作品サブタイトル'!$A$2:$A$32,'作品サブタイトル'!$F$2:$F$32,0)</f>
        <v>星蓮船</v>
      </c>
      <c r="C58" s="1">
        <v>12.0</v>
      </c>
      <c r="D58" s="18">
        <f t="array" ref="D58">XLOOKUP(C58,'作品サブタイトル'!$A$2:$A$32,'作品サブタイトル'!$B$2:$B$32,0)</f>
        <v>2009</v>
      </c>
      <c r="E58" s="18">
        <f t="array" ref="E58">xlookup(C58,'作品サブタイトル'!A$2:A$32,'作品サブタイトル'!E$2:E$32)</f>
        <v>6</v>
      </c>
      <c r="F58" s="19">
        <v>0.0</v>
      </c>
      <c r="G58" s="19">
        <v>0.0</v>
      </c>
      <c r="H58" s="1">
        <v>3.0</v>
      </c>
      <c r="N58" s="1">
        <v>56.0</v>
      </c>
    </row>
    <row r="59">
      <c r="A59" s="3" t="s">
        <v>205</v>
      </c>
      <c r="B59" s="17" t="str">
        <f t="array" ref="B59">XLOOKUP(C59,'作品サブタイトル'!$A$2:$A$32,'作品サブタイトル'!$F$2:$F$32,0)</f>
        <v>星蓮船</v>
      </c>
      <c r="C59" s="1">
        <v>12.0</v>
      </c>
      <c r="D59" s="18">
        <f t="array" ref="D59">XLOOKUP(C59,'作品サブタイトル'!$A$2:$A$32,'作品サブタイトル'!$B$2:$B$32,0)</f>
        <v>2009</v>
      </c>
      <c r="E59" s="18">
        <f t="array" ref="E59">xlookup(C59,'作品サブタイトル'!A$2:A$32,'作品サブタイトル'!E$2:E$32)</f>
        <v>6</v>
      </c>
      <c r="F59" s="19">
        <v>0.0</v>
      </c>
      <c r="G59" s="19">
        <v>0.0</v>
      </c>
      <c r="H59" s="1">
        <v>3.0</v>
      </c>
      <c r="N59" s="1">
        <v>57.0</v>
      </c>
    </row>
    <row r="60">
      <c r="A60" s="3" t="s">
        <v>206</v>
      </c>
      <c r="B60" s="17" t="str">
        <f t="array" ref="B60">XLOOKUP(C60,'作品サブタイトル'!$A$2:$A$32,'作品サブタイトル'!$F$2:$F$32,0)</f>
        <v>星蓮船</v>
      </c>
      <c r="C60" s="1">
        <v>12.0</v>
      </c>
      <c r="D60" s="18">
        <f t="array" ref="D60">XLOOKUP(C60,'作品サブタイトル'!$A$2:$A$32,'作品サブタイトル'!$B$2:$B$32,0)</f>
        <v>2009</v>
      </c>
      <c r="E60" s="18">
        <f t="array" ref="E60">xlookup(C60,'作品サブタイトル'!A$2:A$32,'作品サブタイトル'!E$2:E$32)</f>
        <v>6</v>
      </c>
      <c r="F60" s="19">
        <v>0.0</v>
      </c>
      <c r="G60" s="19">
        <v>0.0</v>
      </c>
      <c r="H60" s="1">
        <v>4.0</v>
      </c>
      <c r="N60" s="1">
        <v>58.0</v>
      </c>
    </row>
    <row r="61">
      <c r="A61" s="3" t="s">
        <v>207</v>
      </c>
      <c r="B61" s="17" t="str">
        <f t="array" ref="B61">XLOOKUP(C61,'作品サブタイトル'!$A$2:$A$32,'作品サブタイトル'!$F$2:$F$32,0)</f>
        <v>星蓮船</v>
      </c>
      <c r="C61" s="1">
        <v>12.0</v>
      </c>
      <c r="D61" s="18">
        <f t="array" ref="D61">XLOOKUP(C61,'作品サブタイトル'!$A$2:$A$32,'作品サブタイトル'!$B$2:$B$32,0)</f>
        <v>2009</v>
      </c>
      <c r="E61" s="18">
        <f t="array" ref="E61">xlookup(C61,'作品サブタイトル'!A$2:A$32,'作品サブタイトル'!E$2:E$32)</f>
        <v>6</v>
      </c>
      <c r="F61" s="19">
        <v>0.0</v>
      </c>
      <c r="G61" s="19">
        <v>0.0</v>
      </c>
      <c r="H61" s="1">
        <v>5.0</v>
      </c>
      <c r="N61" s="1">
        <v>59.0</v>
      </c>
    </row>
    <row r="62">
      <c r="A62" s="3" t="s">
        <v>208</v>
      </c>
      <c r="B62" s="17" t="str">
        <f t="array" ref="B62">XLOOKUP(C62,'作品サブタイトル'!$A$2:$A$32,'作品サブタイトル'!$F$2:$F$32,0)</f>
        <v>星蓮船</v>
      </c>
      <c r="C62" s="1">
        <v>12.0</v>
      </c>
      <c r="D62" s="18">
        <f t="array" ref="D62">XLOOKUP(C62,'作品サブタイトル'!$A$2:$A$32,'作品サブタイトル'!$B$2:$B$32,0)</f>
        <v>2009</v>
      </c>
      <c r="E62" s="18">
        <f t="array" ref="E62">xlookup(C62,'作品サブタイトル'!A$2:A$32,'作品サブタイトル'!E$2:E$32)</f>
        <v>6</v>
      </c>
      <c r="F62" s="19">
        <v>0.0</v>
      </c>
      <c r="G62" s="19">
        <v>0.0</v>
      </c>
      <c r="H62" s="1">
        <v>6.0</v>
      </c>
      <c r="N62" s="1">
        <v>60.0</v>
      </c>
    </row>
    <row r="63">
      <c r="A63" s="3" t="s">
        <v>210</v>
      </c>
      <c r="B63" s="17" t="str">
        <f t="array" ref="B63">XLOOKUP(C63,'作品サブタイトル'!$A$2:$A$32,'作品サブタイトル'!$F$2:$F$32,0)</f>
        <v>星蓮船</v>
      </c>
      <c r="C63" s="1">
        <v>12.0</v>
      </c>
      <c r="D63" s="18">
        <f t="array" ref="D63">XLOOKUP(C63,'作品サブタイトル'!$A$2:$A$32,'作品サブタイトル'!$B$2:$B$32,0)</f>
        <v>2009</v>
      </c>
      <c r="E63" s="18">
        <f t="array" ref="E63">xlookup(C63,'作品サブタイトル'!A$2:A$32,'作品サブタイトル'!E$2:E$32)</f>
        <v>6</v>
      </c>
      <c r="F63" s="19">
        <v>0.0</v>
      </c>
      <c r="G63" s="19">
        <v>0.0</v>
      </c>
      <c r="H63" s="1">
        <v>7.0</v>
      </c>
      <c r="N63" s="1">
        <v>61.0</v>
      </c>
    </row>
    <row r="64">
      <c r="A64" s="3" t="s">
        <v>212</v>
      </c>
      <c r="B64" s="17" t="str">
        <f t="array" ref="B64">XLOOKUP(C64,'作品サブタイトル'!$A$2:$A$32,'作品サブタイトル'!$F$2:$F$32,0)</f>
        <v>ダブルスポイラー</v>
      </c>
      <c r="C64" s="1">
        <v>12.5</v>
      </c>
      <c r="D64" s="18">
        <f t="array" ref="D64">XLOOKUP(C64,'作品サブタイトル'!$A$2:$A$32,'作品サブタイトル'!$B$2:$B$32,0)</f>
        <v>2010</v>
      </c>
      <c r="E64" s="18">
        <f t="array" ref="E64">xlookup(C64,'作品サブタイトル'!A$2:A$32,'作品サブタイトル'!E$2:E$32)</f>
        <v>7</v>
      </c>
      <c r="F64" s="19">
        <v>0.0</v>
      </c>
      <c r="G64" s="19">
        <v>0.0</v>
      </c>
      <c r="H64" s="1">
        <v>0.0</v>
      </c>
      <c r="J64" s="1">
        <v>1.0</v>
      </c>
      <c r="N64" s="1">
        <v>62.0</v>
      </c>
    </row>
    <row r="65">
      <c r="A65" s="3" t="s">
        <v>213</v>
      </c>
      <c r="B65" s="17" t="str">
        <f t="array" ref="B65">XLOOKUP(C65,'作品サブタイトル'!$A$2:$A$32,'作品サブタイトル'!$F$2:$F$32,0)</f>
        <v>神霊廟</v>
      </c>
      <c r="C65" s="1">
        <v>13.0</v>
      </c>
      <c r="D65" s="18">
        <f t="array" ref="D65">XLOOKUP(C65,'作品サブタイトル'!$A$2:$A$32,'作品サブタイトル'!$B$2:$B$32,0)</f>
        <v>2011</v>
      </c>
      <c r="E65" s="18">
        <f t="array" ref="E65">xlookup(C65,'作品サブタイトル'!A$2:A$32,'作品サブタイトル'!E$2:E$32)</f>
        <v>8</v>
      </c>
      <c r="F65" s="19">
        <v>0.0</v>
      </c>
      <c r="G65" s="19">
        <v>0.0</v>
      </c>
      <c r="H65" s="1">
        <v>2.0</v>
      </c>
      <c r="N65" s="1">
        <v>63.0</v>
      </c>
    </row>
    <row r="66">
      <c r="A66" s="3" t="s">
        <v>215</v>
      </c>
      <c r="B66" s="17" t="str">
        <f t="array" ref="B66">XLOOKUP(C66,'作品サブタイトル'!$A$2:$A$32,'作品サブタイトル'!$F$2:$F$32,0)</f>
        <v>神霊廟</v>
      </c>
      <c r="C66" s="1">
        <v>13.0</v>
      </c>
      <c r="D66" s="18">
        <f t="array" ref="D66">XLOOKUP(C66,'作品サブタイトル'!$A$2:$A$32,'作品サブタイトル'!$B$2:$B$32,0)</f>
        <v>2011</v>
      </c>
      <c r="E66" s="18">
        <f t="array" ref="E66">xlookup(C66,'作品サブタイトル'!A$2:A$32,'作品サブタイトル'!E$2:E$32)</f>
        <v>8</v>
      </c>
      <c r="F66" s="19">
        <v>0.0</v>
      </c>
      <c r="G66" s="19">
        <v>0.0</v>
      </c>
      <c r="H66" s="1">
        <v>3.0</v>
      </c>
      <c r="N66" s="1">
        <v>64.0</v>
      </c>
    </row>
    <row r="67">
      <c r="A67" s="3" t="s">
        <v>218</v>
      </c>
      <c r="B67" s="17" t="str">
        <f t="array" ref="B67">XLOOKUP(C67,'作品サブタイトル'!$A$2:$A$32,'作品サブタイトル'!$F$2:$F$32,0)</f>
        <v>神霊廟</v>
      </c>
      <c r="C67" s="1">
        <v>13.0</v>
      </c>
      <c r="D67" s="18">
        <f t="array" ref="D67">XLOOKUP(C67,'作品サブタイトル'!$A$2:$A$32,'作品サブタイトル'!$B$2:$B$32,0)</f>
        <v>2011</v>
      </c>
      <c r="E67" s="18">
        <f t="array" ref="E67">xlookup(C67,'作品サブタイトル'!A$2:A$32,'作品サブタイトル'!E$2:E$32)</f>
        <v>8</v>
      </c>
      <c r="F67" s="19">
        <v>0.0</v>
      </c>
      <c r="G67" s="19">
        <v>0.0</v>
      </c>
      <c r="H67" s="1">
        <v>4.0</v>
      </c>
      <c r="N67" s="1">
        <v>65.0</v>
      </c>
    </row>
    <row r="68">
      <c r="A68" s="3" t="s">
        <v>220</v>
      </c>
      <c r="B68" s="17" t="str">
        <f t="array" ref="B68">XLOOKUP(C68,'作品サブタイトル'!$A$2:$A$32,'作品サブタイトル'!$F$2:$F$32,0)</f>
        <v>神霊廟</v>
      </c>
      <c r="C68" s="1">
        <v>13.0</v>
      </c>
      <c r="D68" s="18">
        <f t="array" ref="D68">XLOOKUP(C68,'作品サブタイトル'!$A$2:$A$32,'作品サブタイトル'!$B$2:$B$32,0)</f>
        <v>2011</v>
      </c>
      <c r="E68" s="18">
        <f t="array" ref="E68">xlookup(C68,'作品サブタイトル'!A$2:A$32,'作品サブタイトル'!E$2:E$32)</f>
        <v>8</v>
      </c>
      <c r="F68" s="19">
        <v>0.0</v>
      </c>
      <c r="G68" s="19">
        <v>0.0</v>
      </c>
      <c r="H68" s="1">
        <v>5.0</v>
      </c>
      <c r="N68" s="1">
        <v>66.0</v>
      </c>
    </row>
    <row r="69">
      <c r="A69" s="3" t="s">
        <v>221</v>
      </c>
      <c r="B69" s="17" t="str">
        <f t="array" ref="B69">XLOOKUP(C69,'作品サブタイトル'!$A$2:$A$32,'作品サブタイトル'!$F$2:$F$32,0)</f>
        <v>神霊廟</v>
      </c>
      <c r="C69" s="1">
        <v>13.0</v>
      </c>
      <c r="D69" s="18">
        <f t="array" ref="D69">XLOOKUP(C69,'作品サブタイトル'!$A$2:$A$32,'作品サブタイトル'!$B$2:$B$32,0)</f>
        <v>2011</v>
      </c>
      <c r="E69" s="18">
        <f t="array" ref="E69">xlookup(C69,'作品サブタイトル'!A$2:A$32,'作品サブタイトル'!E$2:E$32)</f>
        <v>8</v>
      </c>
      <c r="F69" s="19">
        <v>0.0</v>
      </c>
      <c r="G69" s="19">
        <v>0.0</v>
      </c>
      <c r="H69" s="1">
        <v>5.0</v>
      </c>
      <c r="N69" s="1">
        <v>67.0</v>
      </c>
    </row>
    <row r="70">
      <c r="A70" s="3" t="s">
        <v>222</v>
      </c>
      <c r="B70" s="17" t="str">
        <f t="array" ref="B70">XLOOKUP(C70,'作品サブタイトル'!$A$2:$A$32,'作品サブタイトル'!$F$2:$F$32,0)</f>
        <v>神霊廟</v>
      </c>
      <c r="C70" s="1">
        <v>13.0</v>
      </c>
      <c r="D70" s="18">
        <f t="array" ref="D70">XLOOKUP(C70,'作品サブタイトル'!$A$2:$A$32,'作品サブタイトル'!$B$2:$B$32,0)</f>
        <v>2011</v>
      </c>
      <c r="E70" s="18">
        <f t="array" ref="E70">xlookup(C70,'作品サブタイトル'!A$2:A$32,'作品サブタイトル'!E$2:E$32)</f>
        <v>8</v>
      </c>
      <c r="F70" s="19">
        <v>0.0</v>
      </c>
      <c r="G70" s="19">
        <v>0.0</v>
      </c>
      <c r="H70" s="1">
        <v>6.0</v>
      </c>
      <c r="N70" s="1">
        <v>68.0</v>
      </c>
    </row>
    <row r="71">
      <c r="A71" s="3" t="s">
        <v>223</v>
      </c>
      <c r="B71" s="17" t="str">
        <f t="array" ref="B71">XLOOKUP(C71,'作品サブタイトル'!$A$2:$A$32,'作品サブタイトル'!$F$2:$F$32,0)</f>
        <v>神霊廟</v>
      </c>
      <c r="C71" s="1">
        <v>13.0</v>
      </c>
      <c r="D71" s="18">
        <f t="array" ref="D71">XLOOKUP(C71,'作品サブタイトル'!$A$2:$A$32,'作品サブタイトル'!$B$2:$B$32,0)</f>
        <v>2011</v>
      </c>
      <c r="E71" s="18">
        <f t="array" ref="E71">xlookup(C71,'作品サブタイトル'!A$2:A$32,'作品サブタイトル'!E$2:E$32)</f>
        <v>8</v>
      </c>
      <c r="F71" s="19">
        <v>0.0</v>
      </c>
      <c r="G71" s="19">
        <v>0.0</v>
      </c>
      <c r="H71" s="1">
        <v>7.0</v>
      </c>
      <c r="N71" s="1">
        <v>69.0</v>
      </c>
    </row>
    <row r="72">
      <c r="A72" s="3" t="s">
        <v>225</v>
      </c>
      <c r="B72" s="17" t="str">
        <f t="array" ref="B72">XLOOKUP(C72,'作品サブタイトル'!$A$2:$A$32,'作品サブタイトル'!$F$2:$F$32,0)</f>
        <v>心綺楼</v>
      </c>
      <c r="C72" s="1">
        <v>13.5</v>
      </c>
      <c r="D72" s="18">
        <f t="array" ref="D72">XLOOKUP(C72,'作品サブタイトル'!$A$2:$A$32,'作品サブタイトル'!$B$2:$B$32,0)</f>
        <v>2013</v>
      </c>
      <c r="E72" s="18">
        <f t="array" ref="E72">xlookup(C72,'作品サブタイトル'!A$2:A$32,'作品サブタイトル'!E$2:E$32)</f>
        <v>9</v>
      </c>
      <c r="F72" s="19">
        <v>0.0</v>
      </c>
      <c r="G72" s="19">
        <v>0.0</v>
      </c>
      <c r="H72" s="1">
        <v>0.0</v>
      </c>
      <c r="J72" s="1">
        <v>1.0</v>
      </c>
      <c r="N72" s="1">
        <v>70.0</v>
      </c>
    </row>
    <row r="73">
      <c r="A73" s="3" t="s">
        <v>226</v>
      </c>
      <c r="B73" s="17" t="str">
        <f t="array" ref="B73">XLOOKUP(C73,'作品サブタイトル'!$A$2:$A$32,'作品サブタイトル'!$F$2:$F$32,0)</f>
        <v>輝針城</v>
      </c>
      <c r="C73" s="1">
        <v>14.0</v>
      </c>
      <c r="D73" s="18">
        <f t="array" ref="D73">XLOOKUP(C73,'作品サブタイトル'!$A$2:$A$32,'作品サブタイトル'!$B$2:$B$32,0)</f>
        <v>2013</v>
      </c>
      <c r="E73" s="18">
        <f t="array" ref="E73">xlookup(C73,'作品サブタイトル'!A$2:A$32,'作品サブタイトル'!E$2:E$32)</f>
        <v>9</v>
      </c>
      <c r="F73" s="19">
        <v>0.0</v>
      </c>
      <c r="G73" s="19">
        <v>0.0</v>
      </c>
      <c r="H73" s="1">
        <v>1.0</v>
      </c>
      <c r="N73" s="1">
        <v>71.0</v>
      </c>
    </row>
    <row r="74">
      <c r="A74" s="3" t="s">
        <v>227</v>
      </c>
      <c r="B74" s="17" t="str">
        <f t="array" ref="B74">XLOOKUP(C74,'作品サブタイトル'!$A$2:$A$32,'作品サブタイトル'!$F$2:$F$32,0)</f>
        <v>輝針城</v>
      </c>
      <c r="C74" s="1">
        <v>14.0</v>
      </c>
      <c r="D74" s="18">
        <f t="array" ref="D74">XLOOKUP(C74,'作品サブタイトル'!$A$2:$A$32,'作品サブタイトル'!$B$2:$B$32,0)</f>
        <v>2013</v>
      </c>
      <c r="E74" s="18">
        <f t="array" ref="E74">xlookup(C74,'作品サブタイトル'!A$2:A$32,'作品サブタイトル'!E$2:E$32)</f>
        <v>9</v>
      </c>
      <c r="F74" s="19">
        <v>0.0</v>
      </c>
      <c r="G74" s="19">
        <v>0.0</v>
      </c>
      <c r="H74" s="1">
        <v>2.0</v>
      </c>
      <c r="N74" s="1">
        <v>72.0</v>
      </c>
    </row>
    <row r="75">
      <c r="A75" s="3" t="s">
        <v>228</v>
      </c>
      <c r="B75" s="17" t="str">
        <f t="array" ref="B75">XLOOKUP(C75,'作品サブタイトル'!$A$2:$A$32,'作品サブタイトル'!$F$2:$F$32,0)</f>
        <v>輝針城</v>
      </c>
      <c r="C75" s="1">
        <v>14.0</v>
      </c>
      <c r="D75" s="18">
        <f t="array" ref="D75">XLOOKUP(C75,'作品サブタイトル'!$A$2:$A$32,'作品サブタイトル'!$B$2:$B$32,0)</f>
        <v>2013</v>
      </c>
      <c r="E75" s="18">
        <f t="array" ref="E75">xlookup(C75,'作品サブタイトル'!A$2:A$32,'作品サブタイトル'!E$2:E$32)</f>
        <v>9</v>
      </c>
      <c r="F75" s="19">
        <v>0.0</v>
      </c>
      <c r="G75" s="19">
        <v>0.0</v>
      </c>
      <c r="H75" s="1">
        <v>3.0</v>
      </c>
      <c r="N75" s="1">
        <v>73.0</v>
      </c>
    </row>
    <row r="76">
      <c r="A76" s="3" t="s">
        <v>229</v>
      </c>
      <c r="B76" s="17" t="str">
        <f t="array" ref="B76">XLOOKUP(C76,'作品サブタイトル'!$A$2:$A$32,'作品サブタイトル'!$F$2:$F$32,0)</f>
        <v>輝針城</v>
      </c>
      <c r="C76" s="1">
        <v>14.0</v>
      </c>
      <c r="D76" s="18">
        <f t="array" ref="D76">XLOOKUP(C76,'作品サブタイトル'!$A$2:$A$32,'作品サブタイトル'!$B$2:$B$32,0)</f>
        <v>2013</v>
      </c>
      <c r="E76" s="18">
        <f t="array" ref="E76">xlookup(C76,'作品サブタイトル'!A$2:A$32,'作品サブタイトル'!E$2:E$32)</f>
        <v>9</v>
      </c>
      <c r="F76" s="19">
        <v>0.0</v>
      </c>
      <c r="G76" s="19">
        <v>0.0</v>
      </c>
      <c r="H76" s="1">
        <v>4.0</v>
      </c>
      <c r="N76" s="1">
        <v>74.0</v>
      </c>
    </row>
    <row r="77">
      <c r="A77" s="3" t="s">
        <v>232</v>
      </c>
      <c r="B77" s="17" t="str">
        <f t="array" ref="B77">XLOOKUP(C77,'作品サブタイトル'!$A$2:$A$32,'作品サブタイトル'!$F$2:$F$32,0)</f>
        <v>輝針城</v>
      </c>
      <c r="C77" s="1">
        <v>14.0</v>
      </c>
      <c r="D77" s="18">
        <f t="array" ref="D77">XLOOKUP(C77,'作品サブタイトル'!$A$2:$A$32,'作品サブタイトル'!$B$2:$B$32,0)</f>
        <v>2013</v>
      </c>
      <c r="E77" s="18">
        <f t="array" ref="E77">xlookup(C77,'作品サブタイトル'!A$2:A$32,'作品サブタイトル'!E$2:E$32)</f>
        <v>9</v>
      </c>
      <c r="F77" s="19">
        <v>0.0</v>
      </c>
      <c r="G77" s="19">
        <v>0.0</v>
      </c>
      <c r="H77" s="1">
        <v>4.0</v>
      </c>
      <c r="N77" s="1">
        <v>75.0</v>
      </c>
    </row>
    <row r="78">
      <c r="A78" s="3" t="s">
        <v>234</v>
      </c>
      <c r="B78" s="17" t="str">
        <f t="array" ref="B78">XLOOKUP(C78,'作品サブタイトル'!$A$2:$A$32,'作品サブタイトル'!$F$2:$F$32,0)</f>
        <v>輝針城</v>
      </c>
      <c r="C78" s="1">
        <v>14.0</v>
      </c>
      <c r="D78" s="18">
        <f t="array" ref="D78">XLOOKUP(C78,'作品サブタイトル'!$A$2:$A$32,'作品サブタイトル'!$B$2:$B$32,0)</f>
        <v>2013</v>
      </c>
      <c r="E78" s="18">
        <f t="array" ref="E78">xlookup(C78,'作品サブタイトル'!A$2:A$32,'作品サブタイトル'!E$2:E$32)</f>
        <v>9</v>
      </c>
      <c r="F78" s="19">
        <v>0.0</v>
      </c>
      <c r="G78" s="19">
        <v>0.0</v>
      </c>
      <c r="H78" s="1">
        <v>6.0</v>
      </c>
      <c r="J78" s="1">
        <v>1.0</v>
      </c>
      <c r="N78" s="1">
        <v>76.0</v>
      </c>
    </row>
    <row r="79">
      <c r="A79" s="3" t="s">
        <v>235</v>
      </c>
      <c r="B79" s="17" t="str">
        <f t="array" ref="B79">XLOOKUP(C79,'作品サブタイトル'!$A$2:$A$32,'作品サブタイトル'!$F$2:$F$32,0)</f>
        <v>輝針城</v>
      </c>
      <c r="C79" s="1">
        <v>14.0</v>
      </c>
      <c r="D79" s="18">
        <f t="array" ref="D79">XLOOKUP(C79,'作品サブタイトル'!$A$2:$A$32,'作品サブタイトル'!$B$2:$B$32,0)</f>
        <v>2013</v>
      </c>
      <c r="E79" s="18">
        <f t="array" ref="E79">xlookup(C79,'作品サブタイトル'!A$2:A$32,'作品サブタイトル'!E$2:E$32)</f>
        <v>9</v>
      </c>
      <c r="F79" s="19">
        <v>0.0</v>
      </c>
      <c r="G79" s="19">
        <v>0.0</v>
      </c>
      <c r="H79" s="1">
        <v>6.0</v>
      </c>
      <c r="N79" s="1">
        <v>77.0</v>
      </c>
    </row>
    <row r="80">
      <c r="A80" s="3" t="s">
        <v>236</v>
      </c>
      <c r="B80" s="17" t="str">
        <f t="array" ref="B80">XLOOKUP(C80,'作品サブタイトル'!$A$2:$A$32,'作品サブタイトル'!$F$2:$F$32,0)</f>
        <v>輝針城</v>
      </c>
      <c r="C80" s="1">
        <v>14.0</v>
      </c>
      <c r="D80" s="18">
        <f t="array" ref="D80">XLOOKUP(C80,'作品サブタイトル'!$A$2:$A$32,'作品サブタイトル'!$B$2:$B$32,0)</f>
        <v>2013</v>
      </c>
      <c r="E80" s="18">
        <f t="array" ref="E80">xlookup(C80,'作品サブタイトル'!A$2:A$32,'作品サブタイトル'!E$2:E$32)</f>
        <v>9</v>
      </c>
      <c r="F80" s="19">
        <v>0.0</v>
      </c>
      <c r="G80" s="19">
        <v>0.0</v>
      </c>
      <c r="H80" s="1">
        <v>7.0</v>
      </c>
      <c r="N80" s="1">
        <v>78.0</v>
      </c>
    </row>
    <row r="81">
      <c r="A81" s="3" t="s">
        <v>238</v>
      </c>
      <c r="B81" s="17">
        <f t="array" ref="B81">XLOOKUP(C81,'作品サブタイトル'!$A$2:$A$32,'作品サブタイトル'!$F$2:$F$32,0)</f>
        <v>0</v>
      </c>
      <c r="C81" s="1">
        <v>-1.0</v>
      </c>
      <c r="D81" s="17">
        <f t="array" ref="D81">XLOOKUP(C81,'作品サブタイトル'!$A$2:$A$32,'作品サブタイトル'!$B$2:$B$32,0)</f>
        <v>0</v>
      </c>
      <c r="E81" s="19" t="str">
        <f t="array" ref="E81">xlookup(C81,'作品サブタイトル'!A$2:A$32,'作品サブタイトル'!E$2:E$32)</f>
        <v>#N/A</v>
      </c>
      <c r="F81" s="1">
        <v>1.0</v>
      </c>
      <c r="G81" s="1">
        <v>1.0</v>
      </c>
      <c r="H81" s="1">
        <v>0.0</v>
      </c>
      <c r="N81" s="1">
        <v>79.0</v>
      </c>
    </row>
    <row r="82">
      <c r="A82" s="3" t="s">
        <v>239</v>
      </c>
      <c r="B82" s="17" t="str">
        <f t="array" ref="B82">XLOOKUP(C82,'作品サブタイトル'!$A$2:$A$32,'作品サブタイトル'!$F$2:$F$32,0)</f>
        <v>紺珠伝</v>
      </c>
      <c r="C82" s="1">
        <v>15.0</v>
      </c>
      <c r="D82" s="18">
        <f t="array" ref="D82">XLOOKUP(C82,'作品サブタイトル'!$A$2:$A$32,'作品サブタイトル'!$B$2:$B$32,0)</f>
        <v>2015</v>
      </c>
      <c r="E82" s="18">
        <f t="array" ref="E82">xlookup(C82,'作品サブタイトル'!A$2:A$32,'作品サブタイトル'!E$2:E$32)</f>
        <v>11</v>
      </c>
      <c r="F82" s="19">
        <v>0.0</v>
      </c>
      <c r="G82" s="19">
        <v>0.0</v>
      </c>
      <c r="H82" s="1">
        <v>2.0</v>
      </c>
      <c r="N82" s="1">
        <v>80.0</v>
      </c>
    </row>
    <row r="83">
      <c r="A83" s="3" t="s">
        <v>240</v>
      </c>
      <c r="B83" s="17" t="str">
        <f t="array" ref="B83">XLOOKUP(C83,'作品サブタイトル'!$A$2:$A$32,'作品サブタイトル'!$F$2:$F$32,0)</f>
        <v>紺珠伝</v>
      </c>
      <c r="C83" s="1">
        <v>15.0</v>
      </c>
      <c r="D83" s="18">
        <f t="array" ref="D83">XLOOKUP(C83,'作品サブタイトル'!$A$2:$A$32,'作品サブタイトル'!$B$2:$B$32,0)</f>
        <v>2015</v>
      </c>
      <c r="E83" s="18">
        <f t="array" ref="E83">xlookup(C83,'作品サブタイトル'!A$2:A$32,'作品サブタイトル'!E$2:E$32)</f>
        <v>11</v>
      </c>
      <c r="F83" s="19">
        <v>0.0</v>
      </c>
      <c r="G83" s="19">
        <v>0.0</v>
      </c>
      <c r="H83" s="1">
        <v>2.0</v>
      </c>
      <c r="N83" s="1">
        <v>81.0</v>
      </c>
    </row>
    <row r="84">
      <c r="A84" s="3" t="s">
        <v>241</v>
      </c>
      <c r="B84" s="17" t="str">
        <f t="array" ref="B84">XLOOKUP(C84,'作品サブタイトル'!$A$2:$A$32,'作品サブタイトル'!$F$2:$F$32,0)</f>
        <v>紺珠伝</v>
      </c>
      <c r="C84" s="1">
        <v>15.0</v>
      </c>
      <c r="D84" s="18">
        <f t="array" ref="D84">XLOOKUP(C84,'作品サブタイトル'!$A$2:$A$32,'作品サブタイトル'!$B$2:$B$32,0)</f>
        <v>2015</v>
      </c>
      <c r="E84" s="18">
        <f t="array" ref="E84">xlookup(C84,'作品サブタイトル'!A$2:A$32,'作品サブタイトル'!E$2:E$32)</f>
        <v>11</v>
      </c>
      <c r="F84" s="19">
        <v>0.0</v>
      </c>
      <c r="G84" s="19">
        <v>0.0</v>
      </c>
      <c r="H84" s="1">
        <v>3.0</v>
      </c>
      <c r="N84" s="1">
        <v>82.0</v>
      </c>
    </row>
    <row r="85">
      <c r="A85" s="3" t="s">
        <v>243</v>
      </c>
      <c r="B85" s="17" t="str">
        <f t="array" ref="B85">XLOOKUP(C85,'作品サブタイトル'!$A$2:$A$32,'作品サブタイトル'!$F$2:$F$32,0)</f>
        <v>紺珠伝</v>
      </c>
      <c r="C85" s="1">
        <v>15.0</v>
      </c>
      <c r="D85" s="18">
        <f t="array" ref="D85">XLOOKUP(C85,'作品サブタイトル'!$A$2:$A$32,'作品サブタイトル'!$B$2:$B$32,0)</f>
        <v>2015</v>
      </c>
      <c r="E85" s="18">
        <f t="array" ref="E85">xlookup(C85,'作品サブタイトル'!A$2:A$32,'作品サブタイトル'!E$2:E$32)</f>
        <v>11</v>
      </c>
      <c r="F85" s="19">
        <v>0.0</v>
      </c>
      <c r="G85" s="19">
        <v>0.0</v>
      </c>
      <c r="H85" s="1">
        <v>4.0</v>
      </c>
      <c r="N85" s="1">
        <v>83.0</v>
      </c>
    </row>
    <row r="86">
      <c r="A86" s="3" t="s">
        <v>244</v>
      </c>
      <c r="B86" s="17" t="str">
        <f t="array" ref="B86">XLOOKUP(C86,'作品サブタイトル'!$A$2:$A$32,'作品サブタイトル'!$F$2:$F$32,0)</f>
        <v>紺珠伝</v>
      </c>
      <c r="C86" s="1">
        <v>15.0</v>
      </c>
      <c r="D86" s="18">
        <f t="array" ref="D86">XLOOKUP(C86,'作品サブタイトル'!$A$2:$A$32,'作品サブタイトル'!$B$2:$B$32,0)</f>
        <v>2015</v>
      </c>
      <c r="E86" s="18">
        <f t="array" ref="E86">xlookup(C86,'作品サブタイトル'!A$2:A$32,'作品サブタイトル'!E$2:E$32)</f>
        <v>11</v>
      </c>
      <c r="F86" s="19">
        <v>0.0</v>
      </c>
      <c r="G86" s="19">
        <v>0.0</v>
      </c>
      <c r="H86" s="1">
        <v>5.0</v>
      </c>
      <c r="N86" s="1">
        <v>84.0</v>
      </c>
    </row>
    <row r="87">
      <c r="A87" s="3" t="s">
        <v>245</v>
      </c>
      <c r="B87" s="17" t="str">
        <f t="array" ref="B87">XLOOKUP(C87,'作品サブタイトル'!$A$2:$A$32,'作品サブタイトル'!$F$2:$F$32,0)</f>
        <v>紺珠伝</v>
      </c>
      <c r="C87" s="1">
        <v>15.0</v>
      </c>
      <c r="D87" s="18">
        <f t="array" ref="D87">XLOOKUP(C87,'作品サブタイトル'!$A$2:$A$32,'作品サブタイトル'!$B$2:$B$32,0)</f>
        <v>2015</v>
      </c>
      <c r="E87" s="18">
        <f t="array" ref="E87">xlookup(C87,'作品サブタイトル'!A$2:A$32,'作品サブタイトル'!E$2:E$32)</f>
        <v>11</v>
      </c>
      <c r="F87" s="19">
        <v>0.0</v>
      </c>
      <c r="G87" s="19">
        <v>0.0</v>
      </c>
      <c r="H87" s="1">
        <v>6.0</v>
      </c>
      <c r="N87" s="1">
        <v>85.0</v>
      </c>
    </row>
    <row r="88">
      <c r="A88" s="3" t="s">
        <v>247</v>
      </c>
      <c r="B88" s="17" t="str">
        <f t="array" ref="B88">XLOOKUP(C88,'作品サブタイトル'!$A$2:$A$32,'作品サブタイトル'!$F$2:$F$32,0)</f>
        <v>紺珠伝</v>
      </c>
      <c r="C88" s="1">
        <v>15.0</v>
      </c>
      <c r="D88" s="18">
        <f t="array" ref="D88">XLOOKUP(C88,'作品サブタイトル'!$A$2:$A$32,'作品サブタイトル'!$B$2:$B$32,0)</f>
        <v>2015</v>
      </c>
      <c r="E88" s="18">
        <f t="array" ref="E88">xlookup(C88,'作品サブタイトル'!A$2:A$32,'作品サブタイトル'!E$2:E$32)</f>
        <v>11</v>
      </c>
      <c r="F88" s="19">
        <v>0.0</v>
      </c>
      <c r="G88" s="19">
        <v>0.0</v>
      </c>
      <c r="H88" s="1">
        <v>7.0</v>
      </c>
      <c r="N88" s="1">
        <v>86.0</v>
      </c>
    </row>
    <row r="89">
      <c r="A89" s="3" t="s">
        <v>248</v>
      </c>
      <c r="B89" s="17">
        <f t="array" ref="B89">XLOOKUP(C89,'作品サブタイトル'!$A$2:$A$32,'作品サブタイトル'!$F$2:$F$32,0)</f>
        <v>0</v>
      </c>
      <c r="C89" s="1">
        <v>-1.0</v>
      </c>
      <c r="D89" s="17">
        <f t="array" ref="D89">XLOOKUP(C89,'作品サブタイトル'!$A$2:$A$32,'作品サブタイトル'!$B$2:$B$32,0)</f>
        <v>0</v>
      </c>
      <c r="E89" s="19" t="str">
        <f t="array" ref="E89">xlookup(C89,'作品サブタイトル'!A$2:A$32,'作品サブタイトル'!E$2:E$32)</f>
        <v>#N/A</v>
      </c>
      <c r="F89" s="1">
        <v>1.0</v>
      </c>
      <c r="G89" s="1">
        <v>0.0</v>
      </c>
      <c r="H89" s="1">
        <v>0.0</v>
      </c>
      <c r="N89" s="1">
        <v>87.0</v>
      </c>
    </row>
    <row r="90">
      <c r="A90" s="3" t="s">
        <v>250</v>
      </c>
      <c r="B90" s="17">
        <f t="array" ref="B90">XLOOKUP(C90,'作品サブタイトル'!$A$2:$A$32,'作品サブタイトル'!$F$2:$F$32,0)</f>
        <v>0</v>
      </c>
      <c r="C90" s="1">
        <v>-1.0</v>
      </c>
      <c r="D90" s="17">
        <f t="array" ref="D90">XLOOKUP(C90,'作品サブタイトル'!$A$2:$A$32,'作品サブタイトル'!$B$2:$B$32,0)</f>
        <v>0</v>
      </c>
      <c r="E90" s="19" t="str">
        <f t="array" ref="E90">xlookup(C90,'作品サブタイトル'!A$2:A$32,'作品サブタイトル'!E$2:E$32)</f>
        <v>#N/A</v>
      </c>
      <c r="F90" s="1">
        <v>1.0</v>
      </c>
      <c r="G90" s="1">
        <v>0.0</v>
      </c>
      <c r="H90" s="1">
        <v>0.0</v>
      </c>
      <c r="N90" s="1">
        <v>88.0</v>
      </c>
    </row>
    <row r="91">
      <c r="A91" s="3" t="s">
        <v>251</v>
      </c>
      <c r="B91" s="17">
        <f t="array" ref="B91">XLOOKUP(C91,'作品サブタイトル'!$A$2:$A$32,'作品サブタイトル'!$F$2:$F$32,0)</f>
        <v>0</v>
      </c>
      <c r="C91" s="1">
        <v>-1.0</v>
      </c>
      <c r="D91" s="17">
        <f t="array" ref="D91">XLOOKUP(C91,'作品サブタイトル'!$A$2:$A$32,'作品サブタイトル'!$B$2:$B$32,0)</f>
        <v>0</v>
      </c>
      <c r="E91" s="19" t="str">
        <f t="array" ref="E91">xlookup(C91,'作品サブタイトル'!A$2:A$32,'作品サブタイトル'!E$2:E$32)</f>
        <v>#N/A</v>
      </c>
      <c r="F91" s="19">
        <v>0.0</v>
      </c>
      <c r="G91" s="1">
        <v>1.0</v>
      </c>
      <c r="H91" s="1">
        <v>0.0</v>
      </c>
      <c r="N91" s="1">
        <v>89.0</v>
      </c>
    </row>
    <row r="92">
      <c r="A92" s="3" t="s">
        <v>253</v>
      </c>
      <c r="B92" s="17" t="str">
        <f t="array" ref="B92">XLOOKUP(C92,'作品サブタイトル'!$A$2:$A$32,'作品サブタイトル'!$F$2:$F$32,0)</f>
        <v>妖精大戦争</v>
      </c>
      <c r="C92" s="1">
        <v>12.8</v>
      </c>
      <c r="D92" s="18">
        <f t="array" ref="D92">XLOOKUP(C92,'作品サブタイトル'!$A$2:$A$32,'作品サブタイトル'!$B$2:$B$32,0)</f>
        <v>2010</v>
      </c>
      <c r="E92" s="18">
        <f t="array" ref="E92">xlookup(C92,'作品サブタイトル'!A$2:A$32,'作品サブタイトル'!E$2:E$32)</f>
        <v>7</v>
      </c>
      <c r="F92" s="19">
        <v>0.0</v>
      </c>
      <c r="G92" s="1">
        <v>1.0</v>
      </c>
      <c r="H92" s="1">
        <v>0.0</v>
      </c>
      <c r="N92" s="1">
        <v>90.0</v>
      </c>
    </row>
    <row r="93">
      <c r="A93" s="3" t="s">
        <v>256</v>
      </c>
      <c r="B93" s="17" t="str">
        <f t="array" ref="B93">XLOOKUP(C93,'作品サブタイトル'!$A$2:$A$32,'作品サブタイトル'!$F$2:$F$32,0)</f>
        <v>妖精大戦争</v>
      </c>
      <c r="C93" s="1">
        <v>12.8</v>
      </c>
      <c r="D93" s="18">
        <f t="array" ref="D93">XLOOKUP(C93,'作品サブタイトル'!$A$2:$A$32,'作品サブタイトル'!$B$2:$B$32,0)</f>
        <v>2010</v>
      </c>
      <c r="E93" s="18">
        <f t="array" ref="E93">xlookup(C93,'作品サブタイトル'!A$2:A$32,'作品サブタイトル'!E$2:E$32)</f>
        <v>7</v>
      </c>
      <c r="F93" s="19">
        <v>0.0</v>
      </c>
      <c r="G93" s="1">
        <v>1.0</v>
      </c>
      <c r="H93" s="1">
        <v>0.0</v>
      </c>
      <c r="N93" s="1">
        <v>91.0</v>
      </c>
    </row>
    <row r="94">
      <c r="A94" s="3" t="s">
        <v>257</v>
      </c>
      <c r="B94" s="17" t="str">
        <f t="array" ref="B94">XLOOKUP(C94,'作品サブタイトル'!$A$2:$A$32,'作品サブタイトル'!$F$2:$F$32,0)</f>
        <v>妖精大戦争</v>
      </c>
      <c r="C94" s="1">
        <v>12.8</v>
      </c>
      <c r="D94" s="18">
        <f t="array" ref="D94">XLOOKUP(C94,'作品サブタイトル'!$A$2:$A$32,'作品サブタイトル'!$B$2:$B$32,0)</f>
        <v>2010</v>
      </c>
      <c r="E94" s="18">
        <f t="array" ref="E94">xlookup(C94,'作品サブタイトル'!A$2:A$32,'作品サブタイトル'!E$2:E$32)</f>
        <v>7</v>
      </c>
      <c r="F94" s="19">
        <v>0.0</v>
      </c>
      <c r="G94" s="1">
        <v>1.0</v>
      </c>
      <c r="H94" s="1">
        <v>0.0</v>
      </c>
      <c r="N94" s="1">
        <v>92.0</v>
      </c>
    </row>
    <row r="95">
      <c r="A95" s="3" t="s">
        <v>258</v>
      </c>
      <c r="B95" s="17">
        <f t="array" ref="B95">XLOOKUP(C95,'作品サブタイトル'!$A$2:$A$32,'作品サブタイトル'!$F$2:$F$32,0)</f>
        <v>0</v>
      </c>
      <c r="C95" s="1">
        <v>-1.0</v>
      </c>
      <c r="D95" s="17">
        <f t="array" ref="D95">XLOOKUP(C95,'作品サブタイトル'!$A$2:$A$32,'作品サブタイトル'!$B$2:$B$32,0)</f>
        <v>0</v>
      </c>
      <c r="E95" s="19" t="str">
        <f t="array" ref="E95">xlookup(C95,'作品サブタイトル'!A$2:A$32,'作品サブタイトル'!E$2:E$32)</f>
        <v>#N/A</v>
      </c>
      <c r="F95" s="19">
        <v>0.0</v>
      </c>
      <c r="G95" s="1">
        <v>1.0</v>
      </c>
      <c r="H95" s="1">
        <v>0.0</v>
      </c>
      <c r="N95" s="1">
        <v>93.0</v>
      </c>
    </row>
    <row r="96">
      <c r="A96" s="3" t="s">
        <v>260</v>
      </c>
      <c r="B96" s="17">
        <f t="array" ref="B96">XLOOKUP(C96,'作品サブタイトル'!$A$2:$A$32,'作品サブタイトル'!$F$2:$F$32,0)</f>
        <v>0</v>
      </c>
      <c r="C96" s="1">
        <v>-1.0</v>
      </c>
      <c r="D96" s="17">
        <f t="array" ref="D96">XLOOKUP(C96,'作品サブタイトル'!$A$2:$A$32,'作品サブタイトル'!$B$2:$B$32,0)</f>
        <v>0</v>
      </c>
      <c r="E96" s="19" t="str">
        <f t="array" ref="E96">xlookup(C96,'作品サブタイトル'!A$2:A$32,'作品サブタイトル'!E$2:E$32)</f>
        <v>#N/A</v>
      </c>
      <c r="F96" s="19">
        <v>0.0</v>
      </c>
      <c r="G96" s="1">
        <v>1.0</v>
      </c>
      <c r="H96" s="1">
        <v>0.0</v>
      </c>
      <c r="N96" s="1">
        <v>94.0</v>
      </c>
    </row>
    <row r="97">
      <c r="A97" s="3" t="s">
        <v>262</v>
      </c>
      <c r="B97" s="17">
        <f t="array" ref="B97">XLOOKUP(C97,'作品サブタイトル'!$A$2:$A$32,'作品サブタイトル'!$F$2:$F$32,0)</f>
        <v>0</v>
      </c>
      <c r="C97" s="1">
        <v>-1.0</v>
      </c>
      <c r="D97" s="17">
        <f t="array" ref="D97">XLOOKUP(C97,'作品サブタイトル'!$A$2:$A$32,'作品サブタイトル'!$B$2:$B$32,0)</f>
        <v>0</v>
      </c>
      <c r="E97" s="19" t="str">
        <f t="array" ref="E97">xlookup(C97,'作品サブタイトル'!A$2:A$32,'作品サブタイトル'!E$2:E$32)</f>
        <v>#N/A</v>
      </c>
      <c r="F97" s="19">
        <v>0.0</v>
      </c>
      <c r="G97" s="1">
        <v>1.0</v>
      </c>
      <c r="H97" s="1">
        <v>0.0</v>
      </c>
      <c r="N97" s="1">
        <v>95.0</v>
      </c>
    </row>
    <row r="98">
      <c r="A98" s="3" t="s">
        <v>263</v>
      </c>
      <c r="B98" s="17">
        <f t="array" ref="B98">XLOOKUP(C98,'作品サブタイトル'!$A$2:$A$32,'作品サブタイトル'!$F$2:$F$32,0)</f>
        <v>0</v>
      </c>
      <c r="C98" s="1">
        <v>-1.0</v>
      </c>
      <c r="D98" s="17">
        <f t="array" ref="D98">XLOOKUP(C98,'作品サブタイトル'!$A$2:$A$32,'作品サブタイトル'!$B$2:$B$32,0)</f>
        <v>0</v>
      </c>
      <c r="E98" s="19" t="str">
        <f t="array" ref="E98">xlookup(C98,'作品サブタイトル'!A$2:A$32,'作品サブタイトル'!E$2:E$32)</f>
        <v>#N/A</v>
      </c>
      <c r="F98" s="19">
        <v>0.0</v>
      </c>
      <c r="G98" s="1">
        <v>1.0</v>
      </c>
      <c r="H98" s="1">
        <v>0.0</v>
      </c>
      <c r="N98" s="1">
        <v>96.0</v>
      </c>
    </row>
    <row r="99">
      <c r="A99" s="3" t="s">
        <v>264</v>
      </c>
      <c r="B99" s="17">
        <f t="array" ref="B99">XLOOKUP(C99,'作品サブタイトル'!$A$2:$A$32,'作品サブタイトル'!$F$2:$F$32,0)</f>
        <v>0</v>
      </c>
      <c r="C99" s="1">
        <v>-1.0</v>
      </c>
      <c r="D99" s="17">
        <f t="array" ref="D99">XLOOKUP(C99,'作品サブタイトル'!$A$2:$A$32,'作品サブタイトル'!$B$2:$B$32,0)</f>
        <v>0</v>
      </c>
      <c r="E99" s="19" t="str">
        <f t="array" ref="E99">xlookup(C99,'作品サブタイトル'!A$2:A$32,'作品サブタイトル'!E$2:E$32)</f>
        <v>#N/A</v>
      </c>
      <c r="F99" s="19">
        <v>0.0</v>
      </c>
      <c r="G99" s="1">
        <v>1.0</v>
      </c>
      <c r="H99" s="1">
        <v>0.0</v>
      </c>
      <c r="N99" s="1">
        <v>97.0</v>
      </c>
    </row>
    <row r="100">
      <c r="A100" s="3" t="s">
        <v>266</v>
      </c>
      <c r="B100" s="17">
        <f t="array" ref="B100">XLOOKUP(C100,'作品サブタイトル'!$A$2:$A$32,'作品サブタイトル'!$F$2:$F$32,0)</f>
        <v>0</v>
      </c>
      <c r="C100" s="1">
        <v>-1.0</v>
      </c>
      <c r="D100" s="17">
        <f t="array" ref="D100">XLOOKUP(C100,'作品サブタイトル'!$A$2:$A$32,'作品サブタイトル'!$B$2:$B$32,0)</f>
        <v>0</v>
      </c>
      <c r="E100" s="19" t="str">
        <f t="array" ref="E100">xlookup(C100,'作品サブタイトル'!A$2:A$32,'作品サブタイトル'!E$2:E$32)</f>
        <v>#N/A</v>
      </c>
      <c r="F100" s="19">
        <v>0.0</v>
      </c>
      <c r="G100" s="1">
        <v>1.0</v>
      </c>
      <c r="H100" s="1">
        <v>0.0</v>
      </c>
      <c r="N100" s="1">
        <v>98.0</v>
      </c>
    </row>
    <row r="101">
      <c r="A101" s="3" t="s">
        <v>268</v>
      </c>
      <c r="B101" s="17" t="str">
        <f t="array" ref="B101">XLOOKUP(C101,'作品サブタイトル'!$A$2:$A$32,'作品サブタイトル'!$F$2:$F$32,0)</f>
        <v>天空璋</v>
      </c>
      <c r="C101" s="1">
        <v>16.0</v>
      </c>
      <c r="D101" s="18">
        <f t="array" ref="D101">XLOOKUP(C101,'作品サブタイトル'!$A$2:$A$32,'作品サブタイトル'!$B$2:$B$32,0)</f>
        <v>2017</v>
      </c>
      <c r="E101" s="18">
        <f t="array" ref="E101">xlookup(C101,'作品サブタイトル'!A$2:A$32,'作品サブタイトル'!E$2:E$32)</f>
        <v>13</v>
      </c>
      <c r="F101" s="19">
        <v>0.0</v>
      </c>
      <c r="G101" s="19">
        <v>0.0</v>
      </c>
      <c r="H101" s="1">
        <v>1.0</v>
      </c>
      <c r="N101" s="1">
        <v>99.0</v>
      </c>
    </row>
    <row r="102">
      <c r="A102" s="3" t="s">
        <v>269</v>
      </c>
      <c r="B102" s="17" t="str">
        <f t="array" ref="B102">XLOOKUP(C102,'作品サブタイトル'!$A$2:$A$32,'作品サブタイトル'!$F$2:$F$32,0)</f>
        <v>天空璋</v>
      </c>
      <c r="C102" s="1">
        <v>16.0</v>
      </c>
      <c r="D102" s="18">
        <f t="array" ref="D102">XLOOKUP(C102,'作品サブタイトル'!$A$2:$A$32,'作品サブタイトル'!$B$2:$B$32,0)</f>
        <v>2017</v>
      </c>
      <c r="E102" s="18">
        <f t="array" ref="E102">xlookup(C102,'作品サブタイトル'!A$2:A$32,'作品サブタイトル'!E$2:E$32)</f>
        <v>13</v>
      </c>
      <c r="F102" s="19">
        <v>0.0</v>
      </c>
      <c r="G102" s="19">
        <v>0.0</v>
      </c>
      <c r="H102" s="1">
        <v>2.0</v>
      </c>
      <c r="N102" s="1">
        <v>100.0</v>
      </c>
    </row>
    <row r="103">
      <c r="A103" s="3" t="s">
        <v>270</v>
      </c>
      <c r="B103" s="17" t="str">
        <f t="array" ref="B103">XLOOKUP(C103,'作品サブタイトル'!$A$2:$A$32,'作品サブタイトル'!$F$2:$F$32,0)</f>
        <v>天空璋</v>
      </c>
      <c r="C103" s="1">
        <v>16.0</v>
      </c>
      <c r="D103" s="18">
        <f t="array" ref="D103">XLOOKUP(C103,'作品サブタイトル'!$A$2:$A$32,'作品サブタイトル'!$B$2:$B$32,0)</f>
        <v>2017</v>
      </c>
      <c r="E103" s="18">
        <f t="array" ref="E103">xlookup(C103,'作品サブタイトル'!A$2:A$32,'作品サブタイトル'!E$2:E$32)</f>
        <v>13</v>
      </c>
      <c r="F103" s="19">
        <v>0.0</v>
      </c>
      <c r="G103" s="19">
        <v>0.0</v>
      </c>
      <c r="H103" s="1">
        <v>3.0</v>
      </c>
      <c r="N103" s="1">
        <v>101.0</v>
      </c>
    </row>
    <row r="104">
      <c r="A104" s="3" t="s">
        <v>271</v>
      </c>
      <c r="B104" s="17" t="str">
        <f t="array" ref="B104">XLOOKUP(C104,'作品サブタイトル'!$A$2:$A$32,'作品サブタイトル'!$F$2:$F$32,0)</f>
        <v>天空璋</v>
      </c>
      <c r="C104" s="1">
        <v>16.0</v>
      </c>
      <c r="D104" s="18">
        <f t="array" ref="D104">XLOOKUP(C104,'作品サブタイトル'!$A$2:$A$32,'作品サブタイトル'!$B$2:$B$32,0)</f>
        <v>2017</v>
      </c>
      <c r="E104" s="18">
        <f t="array" ref="E104">xlookup(C104,'作品サブタイトル'!A$2:A$32,'作品サブタイトル'!E$2:E$32)</f>
        <v>13</v>
      </c>
      <c r="F104" s="19">
        <v>0.0</v>
      </c>
      <c r="G104" s="19">
        <v>0.0</v>
      </c>
      <c r="H104" s="1">
        <v>4.0</v>
      </c>
      <c r="N104" s="1">
        <v>102.0</v>
      </c>
    </row>
    <row r="105">
      <c r="A105" s="3" t="s">
        <v>272</v>
      </c>
      <c r="B105" s="17" t="str">
        <f t="array" ref="B105">XLOOKUP(C105,'作品サブタイトル'!$A$2:$A$32,'作品サブタイトル'!$F$2:$F$32,0)</f>
        <v>天空璋</v>
      </c>
      <c r="C105" s="1">
        <v>16.0</v>
      </c>
      <c r="D105" s="18">
        <f t="array" ref="D105">XLOOKUP(C105,'作品サブタイトル'!$A$2:$A$32,'作品サブタイトル'!$B$2:$B$32,0)</f>
        <v>2017</v>
      </c>
      <c r="E105" s="18">
        <f t="array" ref="E105">xlookup(C105,'作品サブタイトル'!A$2:A$32,'作品サブタイトル'!E$2:E$32)</f>
        <v>13</v>
      </c>
      <c r="F105" s="19">
        <v>0.0</v>
      </c>
      <c r="G105" s="19">
        <v>0.0</v>
      </c>
      <c r="H105" s="1">
        <v>4.0</v>
      </c>
      <c r="N105" s="1">
        <v>103.0</v>
      </c>
    </row>
    <row r="106">
      <c r="A106" s="3" t="s">
        <v>273</v>
      </c>
      <c r="B106" s="17" t="str">
        <f t="array" ref="B106">XLOOKUP(C106,'作品サブタイトル'!$A$2:$A$32,'作品サブタイトル'!$F$2:$F$32,0)</f>
        <v>天空璋</v>
      </c>
      <c r="C106" s="1">
        <v>16.0</v>
      </c>
      <c r="D106" s="18">
        <f t="array" ref="D106">XLOOKUP(C106,'作品サブタイトル'!$A$2:$A$32,'作品サブタイトル'!$B$2:$B$32,0)</f>
        <v>2017</v>
      </c>
      <c r="E106" s="18">
        <f t="array" ref="E106">xlookup(C106,'作品サブタイトル'!A$2:A$32,'作品サブタイトル'!E$2:E$32)</f>
        <v>13</v>
      </c>
      <c r="F106" s="19">
        <v>0.0</v>
      </c>
      <c r="G106" s="19">
        <v>0.0</v>
      </c>
      <c r="H106" s="1">
        <v>5.0</v>
      </c>
      <c r="N106" s="1">
        <v>104.0</v>
      </c>
    </row>
    <row r="107">
      <c r="A107" s="3" t="s">
        <v>274</v>
      </c>
      <c r="B107" s="17" t="str">
        <f t="array" ref="B107">XLOOKUP(C107,'作品サブタイトル'!$A$2:$A$32,'作品サブタイトル'!$F$2:$F$32,0)</f>
        <v>天空璋</v>
      </c>
      <c r="C107" s="1">
        <v>16.0</v>
      </c>
      <c r="D107" s="18">
        <f t="array" ref="D107">XLOOKUP(C107,'作品サブタイトル'!$A$2:$A$32,'作品サブタイトル'!$B$2:$B$32,0)</f>
        <v>2017</v>
      </c>
      <c r="E107" s="18">
        <f t="array" ref="E107">xlookup(C107,'作品サブタイトル'!A$2:A$32,'作品サブタイトル'!E$2:E$32)</f>
        <v>13</v>
      </c>
      <c r="F107" s="19">
        <v>0.0</v>
      </c>
      <c r="G107" s="19">
        <v>0.0</v>
      </c>
      <c r="H107" s="1">
        <v>6.0</v>
      </c>
      <c r="N107" s="1">
        <v>105.0</v>
      </c>
    </row>
    <row r="108">
      <c r="A108" s="3" t="s">
        <v>276</v>
      </c>
      <c r="B108" s="20" t="str">
        <f t="array" ref="B108">XLOOKUP(C108,'作品サブタイトル'!$A$2:$A$32,'作品サブタイトル'!$F$2:$F$32,0)</f>
        <v>憑依華</v>
      </c>
      <c r="C108" s="1">
        <v>15.5</v>
      </c>
      <c r="D108" s="18">
        <f t="array" ref="D108">XLOOKUP(C108,'作品サブタイトル'!$A$2:$A$32,'作品サブタイトル'!$B$2:$B$32,0)</f>
        <v>2017</v>
      </c>
      <c r="E108" s="18">
        <f t="array" ref="E108">xlookup(C108,'作品サブタイトル'!A$2:A$32,'作品サブタイトル'!E$2:E$32)</f>
        <v>13</v>
      </c>
      <c r="F108" s="19">
        <v>0.0</v>
      </c>
      <c r="G108" s="19">
        <v>0.0</v>
      </c>
      <c r="H108" s="1">
        <v>0.0</v>
      </c>
      <c r="I108" s="1">
        <v>1.0</v>
      </c>
      <c r="J108" s="1">
        <v>1.0</v>
      </c>
      <c r="N108" s="1">
        <v>106.0</v>
      </c>
    </row>
    <row r="109">
      <c r="A109" s="3" t="s">
        <v>277</v>
      </c>
      <c r="B109" s="20" t="str">
        <f t="array" ref="B109">XLOOKUP(C109,'作品サブタイトル'!$A$2:$A$32,'作品サブタイトル'!$F$2:$F$32,0)</f>
        <v>憑依華</v>
      </c>
      <c r="C109" s="1">
        <v>15.5</v>
      </c>
      <c r="D109" s="18">
        <f t="array" ref="D109">XLOOKUP(C109,'作品サブタイトル'!$A$2:$A$32,'作品サブタイトル'!$B$2:$B$32,0)</f>
        <v>2017</v>
      </c>
      <c r="E109" s="18">
        <f t="array" ref="E109">xlookup(C109,'作品サブタイトル'!A$2:A$32,'作品サブタイトル'!E$2:E$32)</f>
        <v>13</v>
      </c>
      <c r="F109" s="19">
        <v>0.0</v>
      </c>
      <c r="G109" s="19">
        <v>0.0</v>
      </c>
      <c r="H109" s="1">
        <v>0.0</v>
      </c>
      <c r="I109" s="1">
        <v>1.0</v>
      </c>
      <c r="J109" s="1">
        <v>1.0</v>
      </c>
      <c r="N109" s="1">
        <v>107.0</v>
      </c>
    </row>
    <row r="110">
      <c r="A110" s="3" t="s">
        <v>292</v>
      </c>
      <c r="B110" s="17" t="str">
        <f t="array" ref="B110">XLOOKUP(C110,'作品サブタイトル'!$A$2:$A$32,'作品サブタイトル'!$F$2:$F$32,0)</f>
        <v>天空璋</v>
      </c>
      <c r="C110" s="1">
        <v>16.0</v>
      </c>
      <c r="D110" s="18">
        <f t="array" ref="D110">XLOOKUP(C110,'作品サブタイトル'!$A$2:$A$32,'作品サブタイトル'!$B$2:$B$32,0)</f>
        <v>2017</v>
      </c>
      <c r="E110" s="18">
        <f t="array" ref="E110">xlookup(C110,'作品サブタイトル'!A$2:A$32,'作品サブタイトル'!E$2:E$32)</f>
        <v>13</v>
      </c>
      <c r="F110" s="19">
        <v>0.0</v>
      </c>
      <c r="G110" s="19">
        <v>0.0</v>
      </c>
      <c r="H110" s="1">
        <v>1.0</v>
      </c>
      <c r="N110" s="1">
        <v>108.0</v>
      </c>
    </row>
    <row r="111">
      <c r="A111" s="1" t="s">
        <v>293</v>
      </c>
      <c r="B111" s="20" t="str">
        <f t="array" ref="B111">XLOOKUP(C111,'作品サブタイトル'!$A$2:$A$32,'作品サブタイトル'!$F$2:$F$32,0)</f>
        <v>鬼形獣</v>
      </c>
      <c r="C111" s="1">
        <v>17.0</v>
      </c>
      <c r="D111" s="18">
        <f t="array" ref="D111">XLOOKUP(C111,'作品サブタイトル'!$A$2:$A$32,'作品サブタイトル'!$B$2:$B$32,0)</f>
        <v>2019</v>
      </c>
      <c r="E111" s="18">
        <f t="array" ref="E111">xlookup(C111,'作品サブタイトル'!A$2:A$32,'作品サブタイトル'!E$2:E$32)</f>
        <v>15</v>
      </c>
      <c r="F111" s="19">
        <v>0.0</v>
      </c>
      <c r="G111" s="19">
        <v>0.0</v>
      </c>
      <c r="H111" s="1">
        <v>2.0</v>
      </c>
      <c r="N111" s="1">
        <v>109.0</v>
      </c>
    </row>
    <row r="112">
      <c r="A112" s="1" t="s">
        <v>294</v>
      </c>
      <c r="B112" s="20" t="str">
        <f t="array" ref="B112">XLOOKUP(C112,'作品サブタイトル'!$A$2:$A$32,'作品サブタイトル'!$F$2:$F$32,0)</f>
        <v>鬼形獣</v>
      </c>
      <c r="C112" s="1">
        <v>17.0</v>
      </c>
      <c r="D112" s="18">
        <f t="array" ref="D112">XLOOKUP(C112,'作品サブタイトル'!$A$2:$A$32,'作品サブタイトル'!$B$2:$B$32,0)</f>
        <v>2019</v>
      </c>
      <c r="E112" s="18">
        <f t="array" ref="E112">xlookup(C112,'作品サブタイトル'!A$2:A$32,'作品サブタイトル'!E$2:E$32)</f>
        <v>15</v>
      </c>
      <c r="F112" s="19">
        <v>0.0</v>
      </c>
      <c r="G112" s="19">
        <v>0.0</v>
      </c>
      <c r="H112" s="1">
        <v>3.0</v>
      </c>
      <c r="N112" s="1">
        <v>110.0</v>
      </c>
    </row>
    <row r="113">
      <c r="A113" s="1" t="s">
        <v>295</v>
      </c>
      <c r="B113" s="20" t="str">
        <f t="array" ref="B113">XLOOKUP(C113,'作品サブタイトル'!$A$2:$A$32,'作品サブタイトル'!$F$2:$F$32,0)</f>
        <v>鬼形獣</v>
      </c>
      <c r="C113" s="1">
        <v>17.0</v>
      </c>
      <c r="D113" s="18">
        <f t="array" ref="D113">XLOOKUP(C113,'作品サブタイトル'!$A$2:$A$32,'作品サブタイトル'!$B$2:$B$32,0)</f>
        <v>2019</v>
      </c>
      <c r="E113" s="18">
        <f t="array" ref="E113">xlookup(C113,'作品サブタイトル'!A$2:A$32,'作品サブタイトル'!E$2:E$32)</f>
        <v>15</v>
      </c>
      <c r="F113" s="19">
        <v>0.0</v>
      </c>
      <c r="G113" s="19">
        <v>0.0</v>
      </c>
      <c r="H113" s="1">
        <v>4.0</v>
      </c>
      <c r="N113" s="1">
        <v>111.0</v>
      </c>
    </row>
    <row r="114">
      <c r="A114" s="1" t="s">
        <v>296</v>
      </c>
      <c r="B114" s="20" t="str">
        <f t="array" ref="B114">XLOOKUP(C114,'作品サブタイトル'!$A$2:$A$32,'作品サブタイトル'!$F$2:$F$32,0)</f>
        <v>鬼形獣</v>
      </c>
      <c r="C114" s="1">
        <v>17.0</v>
      </c>
      <c r="D114" s="18">
        <f t="array" ref="D114">XLOOKUP(C114,'作品サブタイトル'!$A$2:$A$32,'作品サブタイトル'!$B$2:$B$32,0)</f>
        <v>2019</v>
      </c>
      <c r="E114" s="18">
        <f t="array" ref="E114">xlookup(C114,'作品サブタイトル'!A$2:A$32,'作品サブタイトル'!E$2:E$32)</f>
        <v>15</v>
      </c>
      <c r="F114" s="19">
        <v>0.0</v>
      </c>
      <c r="G114" s="19">
        <v>0.0</v>
      </c>
      <c r="H114" s="1">
        <v>5.0</v>
      </c>
      <c r="N114" s="1">
        <v>112.0</v>
      </c>
    </row>
    <row r="115">
      <c r="A115" s="1" t="s">
        <v>297</v>
      </c>
      <c r="B115" s="20" t="str">
        <f t="array" ref="B115">XLOOKUP(C115,'作品サブタイトル'!$A$2:$A$32,'作品サブタイトル'!$F$2:$F$32,0)</f>
        <v>鬼形獣</v>
      </c>
      <c r="C115" s="1">
        <v>17.0</v>
      </c>
      <c r="D115" s="18">
        <f t="array" ref="D115">XLOOKUP(C115,'作品サブタイトル'!$A$2:$A$32,'作品サブタイトル'!$B$2:$B$32,0)</f>
        <v>2019</v>
      </c>
      <c r="E115" s="18">
        <f t="array" ref="E115">xlookup(C115,'作品サブタイトル'!A$2:A$32,'作品サブタイトル'!E$2:E$32)</f>
        <v>15</v>
      </c>
      <c r="F115" s="19">
        <v>0.0</v>
      </c>
      <c r="G115" s="19">
        <v>0.0</v>
      </c>
      <c r="H115" s="1">
        <v>6.0</v>
      </c>
      <c r="N115" s="1">
        <v>113.0</v>
      </c>
    </row>
    <row r="116">
      <c r="A116" s="1" t="s">
        <v>298</v>
      </c>
      <c r="B116" s="20" t="str">
        <f t="array" ref="B116">XLOOKUP(C116,'作品サブタイトル'!$A$2:$A$32,'作品サブタイトル'!$F$2:$F$32,0)</f>
        <v>鬼形獣</v>
      </c>
      <c r="C116" s="1">
        <v>17.0</v>
      </c>
      <c r="D116" s="18">
        <f t="array" ref="D116">XLOOKUP(C116,'作品サブタイトル'!$A$2:$A$32,'作品サブタイトル'!$B$2:$B$32,0)</f>
        <v>2019</v>
      </c>
      <c r="E116" s="18">
        <f t="array" ref="E116">xlookup(C116,'作品サブタイトル'!A$2:A$32,'作品サブタイトル'!E$2:E$32)</f>
        <v>15</v>
      </c>
      <c r="F116" s="19">
        <v>0.0</v>
      </c>
      <c r="G116" s="19">
        <v>0.0</v>
      </c>
      <c r="H116" s="1">
        <v>7.0</v>
      </c>
      <c r="N116" s="1">
        <v>114.0</v>
      </c>
    </row>
    <row r="117">
      <c r="A117" s="1" t="s">
        <v>299</v>
      </c>
      <c r="B117" s="20" t="str">
        <f t="array" ref="B117">XLOOKUP(C117,'作品サブタイトル'!$A$2:$A$32,'作品サブタイトル'!$F$2:$F$32,0)</f>
        <v>剛欲異聞</v>
      </c>
      <c r="C117" s="1">
        <v>17.5</v>
      </c>
      <c r="D117" s="18">
        <f t="array" ref="D117">XLOOKUP(C117,'作品サブタイトル'!$A$2:$A$32,'作品サブタイトル'!$B$2:$B$32,0)</f>
        <v>2021</v>
      </c>
      <c r="E117" s="18">
        <f t="array" ref="E117">xlookup(C117,'作品サブタイトル'!A$2:A$32,'作品サブタイトル'!E$2:E$32)</f>
        <v>16</v>
      </c>
      <c r="F117" s="19">
        <v>0.0</v>
      </c>
      <c r="G117" s="19">
        <v>0.0</v>
      </c>
      <c r="H117" s="1">
        <v>0.0</v>
      </c>
      <c r="I117" s="1">
        <v>0.0</v>
      </c>
      <c r="J117" s="1">
        <v>1.0</v>
      </c>
      <c r="K117" s="1">
        <v>1.0</v>
      </c>
      <c r="N117" s="1">
        <v>115.0</v>
      </c>
    </row>
    <row r="118">
      <c r="A118" s="1" t="s">
        <v>300</v>
      </c>
      <c r="B118" s="20" t="str">
        <f t="array" ref="B118">XLOOKUP(C118,'作品サブタイトル'!$A$2:$A$32,'作品サブタイトル'!$F$2:$F$32,0)</f>
        <v>虹龍洞</v>
      </c>
      <c r="C118" s="1">
        <v>18.0</v>
      </c>
      <c r="D118" s="18">
        <f t="array" ref="D118">XLOOKUP(C118,'作品サブタイトル'!$A$2:$A$32,'作品サブタイトル'!$B$2:$B$32,0)</f>
        <v>2021</v>
      </c>
      <c r="E118" s="18">
        <f t="array" ref="E118">xlookup(C118,'作品サブタイトル'!A$2:A$32,'作品サブタイトル'!E$2:E$32)</f>
        <v>16</v>
      </c>
      <c r="F118" s="19">
        <v>0.0</v>
      </c>
      <c r="G118" s="19">
        <v>0.0</v>
      </c>
      <c r="H118" s="1">
        <v>1.0</v>
      </c>
      <c r="N118" s="1">
        <v>116.0</v>
      </c>
    </row>
    <row r="119">
      <c r="A119" s="1" t="s">
        <v>301</v>
      </c>
      <c r="B119" s="20" t="str">
        <f t="array" ref="B119">XLOOKUP(C119,'作品サブタイトル'!$A$2:$A$32,'作品サブタイトル'!$F$2:$F$32,0)</f>
        <v>虹龍洞</v>
      </c>
      <c r="C119" s="1">
        <v>18.0</v>
      </c>
      <c r="D119" s="18">
        <f t="array" ref="D119">XLOOKUP(C119,'作品サブタイトル'!$A$2:$A$32,'作品サブタイトル'!$B$2:$B$32,0)</f>
        <v>2021</v>
      </c>
      <c r="E119" s="18">
        <f t="array" ref="E119">xlookup(C119,'作品サブタイトル'!A$2:A$32,'作品サブタイトル'!E$2:E$32)</f>
        <v>16</v>
      </c>
      <c r="F119" s="19">
        <v>0.0</v>
      </c>
      <c r="G119" s="19">
        <v>0.0</v>
      </c>
      <c r="H119" s="1">
        <v>2.0</v>
      </c>
      <c r="N119" s="1">
        <v>117.0</v>
      </c>
    </row>
    <row r="120">
      <c r="A120" s="1" t="s">
        <v>302</v>
      </c>
      <c r="B120" s="20" t="str">
        <f t="array" ref="B120">XLOOKUP(C120,'作品サブタイトル'!$A$2:$A$32,'作品サブタイトル'!$F$2:$F$32,0)</f>
        <v>虹龍洞</v>
      </c>
      <c r="C120" s="1">
        <v>18.0</v>
      </c>
      <c r="D120" s="18">
        <f t="array" ref="D120">XLOOKUP(C120,'作品サブタイトル'!$A$2:$A$32,'作品サブタイトル'!$B$2:$B$32,0)</f>
        <v>2021</v>
      </c>
      <c r="E120" s="18">
        <f t="array" ref="E120">xlookup(C120,'作品サブタイトル'!A$2:A$32,'作品サブタイトル'!E$2:E$32)</f>
        <v>16</v>
      </c>
      <c r="F120" s="19">
        <v>0.0</v>
      </c>
      <c r="G120" s="19">
        <v>0.0</v>
      </c>
      <c r="H120" s="1">
        <v>3.0</v>
      </c>
      <c r="N120" s="1">
        <v>118.0</v>
      </c>
    </row>
    <row r="121">
      <c r="A121" s="1" t="s">
        <v>303</v>
      </c>
      <c r="B121" s="20" t="str">
        <f t="array" ref="B121">XLOOKUP(C121,'作品サブタイトル'!$A$2:$A$32,'作品サブタイトル'!$F$2:$F$32,0)</f>
        <v>虹龍洞</v>
      </c>
      <c r="C121" s="1">
        <v>18.0</v>
      </c>
      <c r="D121" s="18">
        <f t="array" ref="D121">XLOOKUP(C121,'作品サブタイトル'!$A$2:$A$32,'作品サブタイトル'!$B$2:$B$32,0)</f>
        <v>2021</v>
      </c>
      <c r="E121" s="18">
        <f t="array" ref="E121">xlookup(C121,'作品サブタイトル'!A$2:A$32,'作品サブタイトル'!E$2:E$32)</f>
        <v>16</v>
      </c>
      <c r="F121" s="19">
        <v>0.0</v>
      </c>
      <c r="G121" s="19">
        <v>0.0</v>
      </c>
      <c r="H121" s="1">
        <v>4.0</v>
      </c>
      <c r="N121" s="1">
        <v>119.0</v>
      </c>
    </row>
    <row r="122">
      <c r="A122" s="1" t="s">
        <v>304</v>
      </c>
      <c r="B122" s="20" t="str">
        <f t="array" ref="B122">XLOOKUP(C122,'作品サブタイトル'!$A$2:$A$32,'作品サブタイトル'!$F$2:$F$32,0)</f>
        <v>虹龍洞</v>
      </c>
      <c r="C122" s="1">
        <v>18.0</v>
      </c>
      <c r="D122" s="18">
        <f t="array" ref="D122">XLOOKUP(C122,'作品サブタイトル'!$A$2:$A$32,'作品サブタイトル'!$B$2:$B$32,0)</f>
        <v>2021</v>
      </c>
      <c r="E122" s="18">
        <f t="array" ref="E122">xlookup(C122,'作品サブタイトル'!A$2:A$32,'作品サブタイトル'!E$2:E$32)</f>
        <v>16</v>
      </c>
      <c r="F122" s="19">
        <v>0.0</v>
      </c>
      <c r="G122" s="19">
        <v>0.0</v>
      </c>
      <c r="H122" s="1">
        <v>5.0</v>
      </c>
      <c r="N122" s="1">
        <v>120.0</v>
      </c>
    </row>
    <row r="123">
      <c r="A123" s="1" t="s">
        <v>305</v>
      </c>
      <c r="B123" s="20" t="str">
        <f t="array" ref="B123">XLOOKUP(C123,'作品サブタイトル'!$A$2:$A$32,'作品サブタイトル'!$F$2:$F$32,0)</f>
        <v>虹龍洞</v>
      </c>
      <c r="C123" s="1">
        <v>18.0</v>
      </c>
      <c r="D123" s="18">
        <f t="array" ref="D123">XLOOKUP(C123,'作品サブタイトル'!$A$2:$A$32,'作品サブタイトル'!$B$2:$B$32,0)</f>
        <v>2021</v>
      </c>
      <c r="E123" s="18">
        <f t="array" ref="E123">xlookup(C123,'作品サブタイトル'!A$2:A$32,'作品サブタイトル'!E$2:E$32)</f>
        <v>16</v>
      </c>
      <c r="F123" s="19">
        <v>0.0</v>
      </c>
      <c r="G123" s="19">
        <v>0.0</v>
      </c>
      <c r="H123" s="1">
        <v>5.0</v>
      </c>
      <c r="N123" s="1">
        <v>121.0</v>
      </c>
    </row>
    <row r="124">
      <c r="A124" s="1" t="s">
        <v>306</v>
      </c>
      <c r="B124" s="20" t="str">
        <f t="array" ref="B124">XLOOKUP(C124,'作品サブタイトル'!$A$2:$A$32,'作品サブタイトル'!$F$2:$F$32,0)</f>
        <v>虹龍洞</v>
      </c>
      <c r="C124" s="1">
        <v>18.0</v>
      </c>
      <c r="D124" s="18">
        <f t="array" ref="D124">XLOOKUP(C124,'作品サブタイトル'!$A$2:$A$32,'作品サブタイトル'!$B$2:$B$32,0)</f>
        <v>2021</v>
      </c>
      <c r="E124" s="18">
        <f t="array" ref="E124">xlookup(C124,'作品サブタイトル'!A$2:A$32,'作品サブタイトル'!E$2:E$32)</f>
        <v>16</v>
      </c>
      <c r="F124" s="19">
        <v>0.0</v>
      </c>
      <c r="G124" s="19">
        <v>0.0</v>
      </c>
      <c r="H124" s="1">
        <v>6.0</v>
      </c>
      <c r="N124" s="1">
        <v>122.0</v>
      </c>
    </row>
    <row r="125">
      <c r="A125" s="1" t="s">
        <v>307</v>
      </c>
      <c r="B125" s="20" t="str">
        <f t="array" ref="B125">XLOOKUP(C125,'作品サブタイトル'!$A$2:$A$32,'作品サブタイトル'!$F$2:$F$32,0)</f>
        <v>虹龍洞</v>
      </c>
      <c r="C125" s="1">
        <v>18.0</v>
      </c>
      <c r="D125" s="18">
        <f t="array" ref="D125">XLOOKUP(C125,'作品サブタイトル'!$A$2:$A$32,'作品サブタイトル'!$B$2:$B$32,0)</f>
        <v>2021</v>
      </c>
      <c r="E125" s="18">
        <f t="array" ref="E125">xlookup(C125,'作品サブタイトル'!A$2:A$32,'作品サブタイトル'!E$2:E$32)</f>
        <v>16</v>
      </c>
      <c r="F125" s="19">
        <v>0.0</v>
      </c>
      <c r="G125" s="19">
        <v>0.0</v>
      </c>
      <c r="H125" s="1">
        <v>7.0</v>
      </c>
      <c r="N125" s="1">
        <v>123.0</v>
      </c>
    </row>
    <row r="126">
      <c r="N126" s="1">
        <v>124.0</v>
      </c>
    </row>
    <row r="127">
      <c r="N127" s="1">
        <v>125.0</v>
      </c>
    </row>
    <row r="128">
      <c r="N128" s="1">
        <v>126.0</v>
      </c>
    </row>
    <row r="129">
      <c r="N129" s="1">
        <v>127.0</v>
      </c>
    </row>
    <row r="130">
      <c r="N130" s="1">
        <v>128.0</v>
      </c>
    </row>
    <row r="131">
      <c r="N131" s="1">
        <v>129.0</v>
      </c>
    </row>
    <row r="132">
      <c r="N132" s="1">
        <v>130.0</v>
      </c>
    </row>
    <row r="133">
      <c r="N133" s="1">
        <v>131.0</v>
      </c>
    </row>
    <row r="134">
      <c r="N134" s="1">
        <v>132.0</v>
      </c>
    </row>
    <row r="135">
      <c r="N135" s="1">
        <v>133.0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.25"/>
    <col customWidth="1" min="4" max="4" width="16.25"/>
    <col customWidth="1" min="5" max="5" width="17.75"/>
    <col customWidth="1" min="6" max="6" width="22.38"/>
    <col customWidth="1" min="7" max="7" width="14.5"/>
  </cols>
  <sheetData>
    <row r="1">
      <c r="A1" s="21" t="s">
        <v>2</v>
      </c>
      <c r="B1" s="21" t="s">
        <v>4</v>
      </c>
      <c r="C1" s="21" t="s">
        <v>308</v>
      </c>
      <c r="D1" s="21" t="s">
        <v>309</v>
      </c>
      <c r="E1" s="21" t="s">
        <v>310</v>
      </c>
      <c r="F1" s="21" t="s">
        <v>311</v>
      </c>
      <c r="G1" s="21" t="s">
        <v>311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>
      <c r="A2" s="23">
        <v>1.0</v>
      </c>
      <c r="B2" s="23">
        <v>1996.0</v>
      </c>
      <c r="C2" s="23">
        <v>11.0</v>
      </c>
      <c r="D2" s="23"/>
      <c r="E2" s="23">
        <v>1.0</v>
      </c>
      <c r="F2" s="24" t="s">
        <v>312</v>
      </c>
      <c r="G2" s="25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>
      <c r="A3" s="23">
        <v>2.0</v>
      </c>
      <c r="B3" s="23">
        <v>1997.0</v>
      </c>
      <c r="C3" s="23">
        <v>8.0</v>
      </c>
      <c r="D3" s="23"/>
      <c r="E3" s="23">
        <v>1.0</v>
      </c>
      <c r="F3" s="24" t="s">
        <v>313</v>
      </c>
      <c r="G3" s="25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>
      <c r="A4" s="23">
        <v>3.0</v>
      </c>
      <c r="B4" s="23">
        <v>1997.0</v>
      </c>
      <c r="C4" s="23">
        <v>12.0</v>
      </c>
      <c r="D4" s="23"/>
      <c r="E4" s="23">
        <v>1.0</v>
      </c>
      <c r="F4" s="24" t="s">
        <v>314</v>
      </c>
      <c r="G4" s="25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>
      <c r="A5" s="23">
        <v>4.0</v>
      </c>
      <c r="B5" s="23">
        <v>1998.0</v>
      </c>
      <c r="C5" s="23">
        <v>8.0</v>
      </c>
      <c r="D5" s="23"/>
      <c r="E5" s="23">
        <v>1.0</v>
      </c>
      <c r="F5" s="24" t="s">
        <v>315</v>
      </c>
      <c r="G5" s="25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>
      <c r="A6" s="23">
        <v>5.0</v>
      </c>
      <c r="B6" s="23">
        <v>1998.0</v>
      </c>
      <c r="C6" s="23">
        <v>8.0</v>
      </c>
      <c r="D6" s="23"/>
      <c r="E6" s="23">
        <v>1.0</v>
      </c>
      <c r="F6" s="24" t="s">
        <v>316</v>
      </c>
      <c r="G6" s="25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>
      <c r="A7" s="26">
        <v>6.0</v>
      </c>
      <c r="B7" s="26">
        <v>2002.0</v>
      </c>
      <c r="C7" s="26">
        <v>8.0</v>
      </c>
      <c r="D7" s="26"/>
      <c r="E7" s="26">
        <v>1.0</v>
      </c>
      <c r="F7" s="27" t="s">
        <v>7</v>
      </c>
      <c r="G7" s="25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>
      <c r="A8" s="26">
        <v>7.0</v>
      </c>
      <c r="B8" s="26">
        <v>2003.0</v>
      </c>
      <c r="C8" s="26">
        <v>8.0</v>
      </c>
      <c r="D8" s="26"/>
      <c r="E8" s="26">
        <v>2.0</v>
      </c>
      <c r="F8" s="27" t="s">
        <v>8</v>
      </c>
      <c r="G8" s="25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>
      <c r="A9" s="26">
        <v>8.0</v>
      </c>
      <c r="B9" s="26">
        <v>2004.0</v>
      </c>
      <c r="C9" s="26">
        <v>8.0</v>
      </c>
      <c r="D9" s="26"/>
      <c r="E9" s="26">
        <v>2.0</v>
      </c>
      <c r="F9" s="27" t="s">
        <v>9</v>
      </c>
      <c r="G9" s="25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>
      <c r="A10" s="28">
        <v>7.5</v>
      </c>
      <c r="B10" s="28">
        <v>2004.0</v>
      </c>
      <c r="C10" s="28">
        <v>12.0</v>
      </c>
      <c r="D10" s="28"/>
      <c r="E10" s="28">
        <v>3.0</v>
      </c>
      <c r="F10" s="29" t="s">
        <v>10</v>
      </c>
      <c r="G10" s="25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>
      <c r="A11" s="26">
        <v>9.0</v>
      </c>
      <c r="B11" s="26">
        <v>2005.0</v>
      </c>
      <c r="C11" s="26">
        <v>8.0</v>
      </c>
      <c r="D11" s="26"/>
      <c r="E11" s="26">
        <v>4.0</v>
      </c>
      <c r="F11" s="27" t="s">
        <v>11</v>
      </c>
      <c r="G11" s="25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>
      <c r="A12" s="28">
        <v>9.5</v>
      </c>
      <c r="B12" s="28">
        <v>2005.0</v>
      </c>
      <c r="C12" s="28">
        <v>12.0</v>
      </c>
      <c r="D12" s="28">
        <v>12.0</v>
      </c>
      <c r="E12" s="28">
        <v>5.0</v>
      </c>
      <c r="F12" s="29" t="s">
        <v>317</v>
      </c>
      <c r="G12" s="25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>
      <c r="A13" s="26">
        <v>10.0</v>
      </c>
      <c r="B13" s="26">
        <v>2007.0</v>
      </c>
      <c r="C13" s="26">
        <v>8.0</v>
      </c>
      <c r="D13" s="26"/>
      <c r="E13" s="26">
        <v>5.0</v>
      </c>
      <c r="F13" s="27" t="s">
        <v>14</v>
      </c>
      <c r="G13" s="25"/>
      <c r="H13" s="22"/>
      <c r="I13" s="30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>
      <c r="A14" s="28">
        <v>10.5</v>
      </c>
      <c r="B14" s="28">
        <v>2008.0</v>
      </c>
      <c r="C14" s="28">
        <v>5.0</v>
      </c>
      <c r="D14" s="28">
        <v>2.0</v>
      </c>
      <c r="E14" s="28">
        <v>5.0</v>
      </c>
      <c r="F14" s="29" t="s">
        <v>15</v>
      </c>
      <c r="G14" s="25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>
      <c r="A15" s="26">
        <v>11.0</v>
      </c>
      <c r="B15" s="26">
        <v>2008.0</v>
      </c>
      <c r="C15" s="26">
        <v>8.0</v>
      </c>
      <c r="D15" s="26">
        <v>2.0</v>
      </c>
      <c r="E15" s="26">
        <v>5.0</v>
      </c>
      <c r="F15" s="27" t="s">
        <v>16</v>
      </c>
      <c r="G15" s="25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>
      <c r="A16" s="26">
        <v>12.0</v>
      </c>
      <c r="B16" s="26">
        <v>2009.0</v>
      </c>
      <c r="C16" s="26">
        <v>8.0</v>
      </c>
      <c r="D16" s="26">
        <v>1.0</v>
      </c>
      <c r="E16" s="26">
        <v>6.0</v>
      </c>
      <c r="F16" s="27" t="s">
        <v>17</v>
      </c>
      <c r="G16" s="25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>
      <c r="A17" s="28">
        <v>12.3</v>
      </c>
      <c r="B17" s="28">
        <v>2009.0</v>
      </c>
      <c r="C17" s="28">
        <v>8.0</v>
      </c>
      <c r="D17" s="28">
        <v>1.0</v>
      </c>
      <c r="E17" s="28">
        <v>6.0</v>
      </c>
      <c r="F17" s="29" t="s">
        <v>18</v>
      </c>
      <c r="G17" s="25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>
      <c r="A18" s="28">
        <v>12.5</v>
      </c>
      <c r="B18" s="28">
        <v>2010.0</v>
      </c>
      <c r="C18" s="28">
        <v>3.0</v>
      </c>
      <c r="D18" s="28">
        <v>2.0</v>
      </c>
      <c r="E18" s="28">
        <v>7.0</v>
      </c>
      <c r="F18" s="29" t="s">
        <v>318</v>
      </c>
      <c r="G18" s="25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>
      <c r="A19" s="28">
        <v>12.8</v>
      </c>
      <c r="B19" s="28">
        <v>2010.0</v>
      </c>
      <c r="C19" s="28">
        <v>8.0</v>
      </c>
      <c r="D19" s="28">
        <v>2.0</v>
      </c>
      <c r="E19" s="28">
        <v>7.0</v>
      </c>
      <c r="F19" s="29" t="s">
        <v>20</v>
      </c>
      <c r="G19" s="25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>
      <c r="A20" s="26">
        <v>13.0</v>
      </c>
      <c r="B20" s="26">
        <v>2011.0</v>
      </c>
      <c r="C20" s="26">
        <v>8.0</v>
      </c>
      <c r="D20" s="26">
        <v>2.0</v>
      </c>
      <c r="E20" s="26">
        <v>8.0</v>
      </c>
      <c r="F20" s="27" t="s">
        <v>21</v>
      </c>
      <c r="G20" s="25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>
      <c r="A21" s="28">
        <v>13.5</v>
      </c>
      <c r="B21" s="28">
        <v>2013.0</v>
      </c>
      <c r="C21" s="28">
        <v>5.0</v>
      </c>
      <c r="D21" s="28"/>
      <c r="E21" s="28">
        <v>9.0</v>
      </c>
      <c r="F21" s="29" t="s">
        <v>22</v>
      </c>
      <c r="G21" s="25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>
      <c r="A22" s="26">
        <v>14.0</v>
      </c>
      <c r="B22" s="26">
        <v>2013.0</v>
      </c>
      <c r="C22" s="26">
        <v>8.0</v>
      </c>
      <c r="D22" s="26"/>
      <c r="E22" s="26">
        <v>9.0</v>
      </c>
      <c r="F22" s="27" t="s">
        <v>23</v>
      </c>
      <c r="G22" s="25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>
      <c r="A23" s="28">
        <v>14.3</v>
      </c>
      <c r="B23" s="28">
        <v>2014.0</v>
      </c>
      <c r="C23" s="28">
        <v>5.0</v>
      </c>
      <c r="D23" s="28">
        <v>2.0</v>
      </c>
      <c r="E23" s="28">
        <v>10.0</v>
      </c>
      <c r="F23" s="29" t="s">
        <v>24</v>
      </c>
      <c r="G23" s="25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>
      <c r="A24" s="28">
        <v>14.5</v>
      </c>
      <c r="B24" s="28">
        <v>2015.0</v>
      </c>
      <c r="C24" s="28">
        <v>5.0</v>
      </c>
      <c r="D24" s="28">
        <v>5.0</v>
      </c>
      <c r="E24" s="28">
        <v>11.0</v>
      </c>
      <c r="F24" s="29" t="s">
        <v>25</v>
      </c>
      <c r="G24" s="25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>
      <c r="A25" s="26">
        <v>15.0</v>
      </c>
      <c r="B25" s="26">
        <v>2015.0</v>
      </c>
      <c r="C25" s="26">
        <v>8.0</v>
      </c>
      <c r="D25" s="26">
        <v>5.0</v>
      </c>
      <c r="E25" s="26">
        <v>11.0</v>
      </c>
      <c r="F25" s="27" t="s">
        <v>26</v>
      </c>
      <c r="G25" s="25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>
      <c r="A26" s="26">
        <v>16.0</v>
      </c>
      <c r="B26" s="31">
        <v>2017.0</v>
      </c>
      <c r="C26" s="31">
        <v>8.0</v>
      </c>
      <c r="D26" s="31">
        <v>1.0</v>
      </c>
      <c r="E26" s="31">
        <v>13.0</v>
      </c>
      <c r="F26" s="32" t="s">
        <v>319</v>
      </c>
      <c r="G26" s="25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>
      <c r="A27" s="28">
        <v>15.5</v>
      </c>
      <c r="B27" s="33">
        <v>2017.0</v>
      </c>
      <c r="C27" s="28">
        <v>12.0</v>
      </c>
      <c r="D27" s="28">
        <v>1.0</v>
      </c>
      <c r="E27" s="28">
        <v>13.0</v>
      </c>
      <c r="F27" s="34" t="s">
        <v>28</v>
      </c>
      <c r="G27" s="25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>
      <c r="A28" s="35">
        <v>16.5</v>
      </c>
      <c r="B28" s="35">
        <v>2018.0</v>
      </c>
      <c r="C28" s="35">
        <v>8.0</v>
      </c>
      <c r="D28" s="35">
        <v>1.0</v>
      </c>
      <c r="E28" s="35">
        <v>14.0</v>
      </c>
      <c r="F28" s="36" t="s">
        <v>29</v>
      </c>
      <c r="G28" s="25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>
      <c r="A29" s="37">
        <v>17.0</v>
      </c>
      <c r="B29" s="37">
        <v>2019.0</v>
      </c>
      <c r="C29" s="37">
        <v>8.0</v>
      </c>
      <c r="D29" s="37">
        <v>1.0</v>
      </c>
      <c r="E29" s="37">
        <v>15.0</v>
      </c>
      <c r="F29" s="38" t="s">
        <v>30</v>
      </c>
      <c r="G29" s="25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>
      <c r="A30" s="37">
        <v>18.0</v>
      </c>
      <c r="B30" s="37">
        <v>2021.0</v>
      </c>
      <c r="C30" s="37">
        <v>5.0</v>
      </c>
      <c r="D30" s="37">
        <v>6.0</v>
      </c>
      <c r="E30" s="37">
        <v>16.0</v>
      </c>
      <c r="F30" s="39" t="s">
        <v>31</v>
      </c>
      <c r="G30" s="25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>
      <c r="A31" s="35">
        <v>17.5</v>
      </c>
      <c r="B31" s="35">
        <v>2021.0</v>
      </c>
      <c r="C31" s="35">
        <v>10.0</v>
      </c>
      <c r="D31" s="35">
        <v>10.0</v>
      </c>
      <c r="E31" s="35">
        <v>16.0</v>
      </c>
      <c r="F31" s="40" t="s">
        <v>32</v>
      </c>
      <c r="G31" s="25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>
      <c r="A32" s="35">
        <v>18.5</v>
      </c>
      <c r="B32" s="28">
        <v>2022.0</v>
      </c>
      <c r="C32" s="28">
        <v>8.0</v>
      </c>
      <c r="D32" s="28">
        <v>9.0</v>
      </c>
      <c r="E32" s="28">
        <v>18.0</v>
      </c>
      <c r="F32" s="36" t="s">
        <v>33</v>
      </c>
      <c r="G32" s="25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dataValidations>
    <dataValidation type="custom" allowBlank="1" showDropDown="1" sqref="A2:E32">
      <formula1>AND(ISNUMBER(A2),(NOT(OR(NOT(ISERROR(DATEVALUE(A2))), AND(ISNUMBER(A2), LEFT(CELL("format", A2))="D")))))</formula1>
    </dataValidation>
  </dataValidations>
  <hyperlinks>
    <hyperlink r:id="rId1" ref="F26"/>
    <hyperlink r:id="rId2" ref="F27"/>
    <hyperlink r:id="rId3" ref="F28"/>
    <hyperlink r:id="rId4" ref="F29"/>
    <hyperlink r:id="rId5" ref="F30"/>
    <hyperlink r:id="rId6" ref="F31"/>
    <hyperlink r:id="rId7" ref="F32"/>
  </hyperlinks>
  <drawing r:id="rId8"/>
  <tableParts count="1"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6.38"/>
    <col customWidth="1" min="3" max="3" width="8.38"/>
  </cols>
  <sheetData>
    <row r="1">
      <c r="A1" s="1" t="s">
        <v>320</v>
      </c>
      <c r="B1" s="1" t="s">
        <v>4</v>
      </c>
      <c r="C1" s="1" t="s">
        <v>321</v>
      </c>
      <c r="D1" s="1" t="s">
        <v>322</v>
      </c>
      <c r="E1" s="1" t="s">
        <v>323</v>
      </c>
      <c r="F1" s="19"/>
      <c r="G1" s="19"/>
      <c r="H1" s="1"/>
      <c r="I1" s="1"/>
      <c r="J1" s="1"/>
      <c r="K1" s="1"/>
    </row>
    <row r="2">
      <c r="A2" s="1">
        <v>1.0</v>
      </c>
      <c r="B2" s="1">
        <v>2002.0</v>
      </c>
      <c r="C2" s="1">
        <v>544.0</v>
      </c>
      <c r="D2" s="1">
        <v>678.0</v>
      </c>
      <c r="E2" s="19"/>
      <c r="F2" s="19"/>
      <c r="G2" s="19"/>
      <c r="H2" s="1"/>
      <c r="I2" s="1"/>
      <c r="J2" s="1"/>
      <c r="K2" s="1"/>
    </row>
    <row r="3">
      <c r="A3" s="1">
        <v>2.0</v>
      </c>
      <c r="B3" s="1">
        <v>2003.0</v>
      </c>
      <c r="C3" s="1">
        <v>1195.0</v>
      </c>
      <c r="D3" s="1">
        <v>945.0</v>
      </c>
      <c r="E3" s="1">
        <v>711.0</v>
      </c>
      <c r="F3" s="1">
        <v>728.0</v>
      </c>
      <c r="G3" s="19"/>
      <c r="H3" s="1"/>
      <c r="I3" s="1"/>
      <c r="J3" s="1"/>
      <c r="K3" s="1"/>
    </row>
    <row r="4">
      <c r="A4" s="1">
        <v>3.0</v>
      </c>
      <c r="B4" s="1">
        <v>2004.0</v>
      </c>
      <c r="C4" s="1">
        <v>4942.0</v>
      </c>
      <c r="D4" s="1">
        <v>2636.0</v>
      </c>
      <c r="E4" s="19"/>
      <c r="F4" s="1">
        <v>3525.0</v>
      </c>
      <c r="G4" s="41">
        <v>2894.0</v>
      </c>
      <c r="H4" s="1"/>
      <c r="I4" s="1"/>
      <c r="J4" s="1"/>
      <c r="K4" s="1"/>
    </row>
    <row r="5">
      <c r="A5" s="1">
        <v>4.0</v>
      </c>
      <c r="B5" s="41">
        <v>2005.0</v>
      </c>
      <c r="C5" s="41">
        <v>4426.0</v>
      </c>
      <c r="D5" s="41">
        <v>3801.0</v>
      </c>
      <c r="E5" s="41">
        <v>2997.0</v>
      </c>
      <c r="G5" s="42"/>
      <c r="H5" s="43"/>
      <c r="I5" s="43"/>
      <c r="J5" s="43"/>
      <c r="K5" s="43"/>
    </row>
    <row r="6">
      <c r="A6" s="1" t="s">
        <v>324</v>
      </c>
      <c r="B6" s="1">
        <v>2006.0</v>
      </c>
      <c r="C6" s="1">
        <v>1602.0</v>
      </c>
      <c r="D6" s="19"/>
      <c r="E6" s="19"/>
      <c r="F6" s="19"/>
      <c r="G6" s="19"/>
      <c r="H6" s="1"/>
      <c r="I6" s="1"/>
      <c r="J6" s="1"/>
      <c r="K6" s="1"/>
    </row>
    <row r="7">
      <c r="A7" s="1">
        <v>5.0</v>
      </c>
      <c r="B7" s="1">
        <v>2008.0</v>
      </c>
      <c r="C7" s="1">
        <v>12220.0</v>
      </c>
      <c r="D7" s="1">
        <v>10787.0</v>
      </c>
      <c r="E7" s="1">
        <v>8501.0</v>
      </c>
      <c r="F7" s="19"/>
      <c r="G7" s="19"/>
      <c r="H7" s="43"/>
      <c r="I7" s="43"/>
      <c r="J7" s="43"/>
      <c r="K7" s="43"/>
    </row>
    <row r="8">
      <c r="A8" s="41">
        <v>6.0</v>
      </c>
      <c r="B8" s="41">
        <v>2009.0</v>
      </c>
      <c r="C8" s="41">
        <v>22087.0</v>
      </c>
      <c r="D8" s="41">
        <v>18774.0</v>
      </c>
      <c r="E8" s="41">
        <v>15156.0</v>
      </c>
      <c r="H8" s="43"/>
      <c r="I8" s="43"/>
      <c r="J8" s="43"/>
      <c r="K8" s="43"/>
    </row>
    <row r="9">
      <c r="A9" s="41">
        <v>7.0</v>
      </c>
      <c r="B9" s="41">
        <v>2010.0</v>
      </c>
      <c r="C9" s="41">
        <v>33449.0</v>
      </c>
      <c r="D9" s="41">
        <v>28110.0</v>
      </c>
      <c r="E9" s="41">
        <v>22245.0</v>
      </c>
      <c r="H9" s="43"/>
      <c r="I9" s="43"/>
      <c r="J9" s="43"/>
      <c r="K9" s="43"/>
    </row>
    <row r="10">
      <c r="A10" s="41">
        <v>8.0</v>
      </c>
      <c r="B10" s="41">
        <v>2011.0</v>
      </c>
      <c r="C10" s="41">
        <v>35946.0</v>
      </c>
      <c r="D10" s="41">
        <v>29285.0</v>
      </c>
      <c r="E10" s="41">
        <v>21499.0</v>
      </c>
      <c r="H10" s="43"/>
      <c r="I10" s="43"/>
      <c r="J10" s="43"/>
      <c r="K10" s="43"/>
    </row>
    <row r="11">
      <c r="A11" s="41">
        <v>9.0</v>
      </c>
      <c r="B11" s="41">
        <v>2012.0</v>
      </c>
      <c r="C11" s="41">
        <v>43737.0</v>
      </c>
      <c r="D11" s="41">
        <v>32842.0</v>
      </c>
      <c r="E11" s="41">
        <v>20105.0</v>
      </c>
      <c r="H11" s="43"/>
      <c r="I11" s="43"/>
      <c r="J11" s="43"/>
      <c r="K11" s="43"/>
    </row>
    <row r="12">
      <c r="A12" s="41">
        <v>10.0</v>
      </c>
      <c r="B12" s="41">
        <v>2014.0</v>
      </c>
      <c r="C12" s="41">
        <v>31040.0</v>
      </c>
      <c r="D12" s="41">
        <v>23283.0</v>
      </c>
      <c r="E12" s="41">
        <v>15494.0</v>
      </c>
      <c r="H12" s="43"/>
      <c r="I12" s="43"/>
      <c r="J12" s="43"/>
      <c r="K12" s="43"/>
    </row>
    <row r="13">
      <c r="A13" s="41">
        <v>11.0</v>
      </c>
      <c r="B13" s="41">
        <v>2015.0</v>
      </c>
      <c r="C13" s="41">
        <v>32244.0</v>
      </c>
      <c r="D13" s="41">
        <v>20843.0</v>
      </c>
      <c r="E13" s="41">
        <v>10636.0</v>
      </c>
      <c r="H13" s="43"/>
      <c r="I13" s="43"/>
      <c r="J13" s="43"/>
      <c r="K13" s="43"/>
    </row>
    <row r="14">
      <c r="A14" s="41">
        <v>12.0</v>
      </c>
      <c r="B14" s="41">
        <v>2016.0</v>
      </c>
      <c r="C14" s="41">
        <v>42419.0</v>
      </c>
      <c r="D14" s="41">
        <v>32356.0</v>
      </c>
      <c r="E14" s="41">
        <v>24742.0</v>
      </c>
      <c r="F14" s="41">
        <v>18268.0</v>
      </c>
      <c r="J14" s="43"/>
      <c r="K14" s="43"/>
    </row>
    <row r="15">
      <c r="A15" s="41">
        <v>13.0</v>
      </c>
      <c r="B15" s="41">
        <v>2017.0</v>
      </c>
      <c r="C15" s="41">
        <v>36727.0</v>
      </c>
      <c r="D15" s="41">
        <v>27694.0</v>
      </c>
      <c r="E15" s="41">
        <v>21222.0</v>
      </c>
      <c r="F15" s="41">
        <v>24241.0</v>
      </c>
      <c r="G15" s="41">
        <v>16845.0</v>
      </c>
    </row>
    <row r="16">
      <c r="A16" s="41">
        <v>14.0</v>
      </c>
      <c r="B16" s="41">
        <v>2018.0</v>
      </c>
      <c r="C16" s="41">
        <v>32065.0</v>
      </c>
      <c r="D16" s="41">
        <v>23648.0</v>
      </c>
      <c r="E16" s="41">
        <v>18470.0</v>
      </c>
      <c r="H16" s="43"/>
      <c r="I16" s="43"/>
      <c r="J16" s="43"/>
      <c r="K16" s="43"/>
    </row>
    <row r="17">
      <c r="A17" s="41">
        <v>15.0</v>
      </c>
      <c r="B17" s="41">
        <v>2019.0</v>
      </c>
      <c r="C17" s="41">
        <v>23883.0</v>
      </c>
      <c r="D17" s="41">
        <v>17951.0</v>
      </c>
      <c r="E17" s="41">
        <v>13946.0</v>
      </c>
      <c r="H17" s="43"/>
      <c r="I17" s="43"/>
      <c r="J17" s="43"/>
      <c r="K17" s="43"/>
    </row>
    <row r="18">
      <c r="A18" s="41">
        <v>16.0</v>
      </c>
      <c r="B18" s="41">
        <v>2020.0</v>
      </c>
      <c r="C18" s="41">
        <v>34573.0</v>
      </c>
      <c r="D18" s="41">
        <v>25919.0</v>
      </c>
      <c r="E18" s="41">
        <v>19274.0</v>
      </c>
      <c r="H18" s="43"/>
      <c r="I18" s="43"/>
      <c r="J18" s="43"/>
      <c r="K18" s="43"/>
    </row>
    <row r="19">
      <c r="A19" s="1" t="s">
        <v>325</v>
      </c>
      <c r="B19" s="1">
        <v>2021.0</v>
      </c>
      <c r="C19" s="1">
        <v>10849.0</v>
      </c>
      <c r="D19" s="19"/>
      <c r="E19" s="19"/>
      <c r="F19" s="19"/>
      <c r="G19" s="19"/>
      <c r="H19" s="1"/>
      <c r="I19" s="1"/>
      <c r="J19" s="1"/>
      <c r="K19" s="1"/>
    </row>
    <row r="20">
      <c r="A20" s="1">
        <v>17.0</v>
      </c>
      <c r="B20" s="1">
        <v>2021.0</v>
      </c>
      <c r="C20" s="1">
        <v>40363.0</v>
      </c>
      <c r="D20" s="1">
        <v>30104.0</v>
      </c>
      <c r="E20" s="1">
        <v>23047.0</v>
      </c>
      <c r="F20" s="19"/>
      <c r="G20" s="19"/>
      <c r="H20" s="1"/>
      <c r="I20" s="1"/>
      <c r="J20" s="1"/>
      <c r="K20" s="1"/>
    </row>
    <row r="21">
      <c r="A21" s="41">
        <v>18.0</v>
      </c>
      <c r="B21" s="41">
        <v>2022.0</v>
      </c>
      <c r="C21" s="41">
        <v>51652.0</v>
      </c>
      <c r="D21" s="41">
        <v>37659.0</v>
      </c>
      <c r="E21" s="41">
        <v>28558.0</v>
      </c>
      <c r="H21" s="43"/>
      <c r="I21" s="43"/>
      <c r="J21" s="43"/>
      <c r="K21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1" width="8.25"/>
    <col customWidth="1" min="22" max="28" width="7.38"/>
  </cols>
  <sheetData>
    <row r="1">
      <c r="A1" s="3" t="s">
        <v>2</v>
      </c>
      <c r="B1" s="3" t="s">
        <v>3</v>
      </c>
      <c r="C1" s="3">
        <v>6.0</v>
      </c>
      <c r="D1" s="3">
        <v>7.0</v>
      </c>
      <c r="E1" s="3">
        <v>8.0</v>
      </c>
      <c r="F1" s="3">
        <v>7.5</v>
      </c>
      <c r="G1" s="3">
        <v>9.0</v>
      </c>
      <c r="H1" s="3">
        <v>9.5</v>
      </c>
      <c r="I1" s="3">
        <v>10.0</v>
      </c>
      <c r="J1" s="3">
        <v>10.5</v>
      </c>
      <c r="K1" s="3">
        <v>11.0</v>
      </c>
      <c r="L1" s="3">
        <v>12.0</v>
      </c>
      <c r="M1" s="3">
        <v>12.3</v>
      </c>
      <c r="N1" s="3">
        <v>12.5</v>
      </c>
      <c r="O1" s="3">
        <v>12.8</v>
      </c>
      <c r="P1" s="3">
        <v>13.0</v>
      </c>
      <c r="Q1" s="3">
        <v>13.5</v>
      </c>
      <c r="R1" s="3">
        <v>14.0</v>
      </c>
      <c r="S1" s="3">
        <v>14.3</v>
      </c>
      <c r="T1" s="3">
        <v>14.5</v>
      </c>
      <c r="U1" s="3">
        <v>15.0</v>
      </c>
      <c r="V1" s="3">
        <v>16.0</v>
      </c>
      <c r="W1" s="3">
        <v>15.5</v>
      </c>
      <c r="X1" s="1">
        <v>16.5</v>
      </c>
      <c r="Y1" s="1">
        <v>17.0</v>
      </c>
      <c r="Z1" s="1">
        <v>18.0</v>
      </c>
      <c r="AA1" s="1">
        <v>17.5</v>
      </c>
      <c r="AB1" s="1">
        <v>18.5</v>
      </c>
    </row>
    <row r="2">
      <c r="A2" s="3" t="s">
        <v>4</v>
      </c>
      <c r="B2" s="3">
        <v>2000.0</v>
      </c>
      <c r="C2" s="3">
        <v>2002.0</v>
      </c>
      <c r="D2" s="3">
        <v>2003.0</v>
      </c>
      <c r="E2" s="3">
        <v>2004.0</v>
      </c>
      <c r="F2" s="3">
        <v>2004.0</v>
      </c>
      <c r="G2" s="3">
        <v>2005.0</v>
      </c>
      <c r="H2" s="3">
        <v>2005.0</v>
      </c>
      <c r="I2" s="3">
        <v>2007.0</v>
      </c>
      <c r="J2" s="3">
        <v>2008.0</v>
      </c>
      <c r="K2" s="3">
        <v>2008.0</v>
      </c>
      <c r="L2" s="3">
        <v>2009.0</v>
      </c>
      <c r="M2" s="3">
        <v>2009.0</v>
      </c>
      <c r="N2" s="3">
        <v>2010.0</v>
      </c>
      <c r="O2" s="3">
        <v>2010.0</v>
      </c>
      <c r="P2" s="3">
        <v>2011.0</v>
      </c>
      <c r="Q2" s="3">
        <v>2013.0</v>
      </c>
      <c r="R2" s="3">
        <v>2013.0</v>
      </c>
      <c r="S2" s="3">
        <v>2014.0</v>
      </c>
      <c r="T2" s="3">
        <v>2015.0</v>
      </c>
      <c r="U2" s="3">
        <v>2015.0</v>
      </c>
      <c r="V2" s="4">
        <v>2017.0</v>
      </c>
      <c r="W2" s="4">
        <v>2017.0</v>
      </c>
      <c r="X2" s="1">
        <v>2018.0</v>
      </c>
      <c r="Y2" s="1">
        <v>2019.0</v>
      </c>
      <c r="Z2" s="1">
        <v>2021.0</v>
      </c>
      <c r="AA2" s="1">
        <v>2021.0</v>
      </c>
      <c r="AB2" s="3">
        <v>2022.0</v>
      </c>
    </row>
    <row r="3">
      <c r="A3" s="3" t="s">
        <v>5</v>
      </c>
      <c r="B3" s="44">
        <v>1.0</v>
      </c>
      <c r="C3" s="44">
        <v>1.0</v>
      </c>
      <c r="D3" s="44">
        <v>2.0</v>
      </c>
      <c r="E3" s="44">
        <v>2.0</v>
      </c>
      <c r="F3" s="45">
        <v>3.0</v>
      </c>
      <c r="G3" s="44">
        <v>4.0</v>
      </c>
      <c r="H3" s="45">
        <v>5.0</v>
      </c>
      <c r="I3" s="44">
        <v>5.0</v>
      </c>
      <c r="J3" s="45">
        <v>5.0</v>
      </c>
      <c r="K3" s="44">
        <v>5.0</v>
      </c>
      <c r="L3" s="44">
        <v>6.0</v>
      </c>
      <c r="M3" s="45">
        <v>6.0</v>
      </c>
      <c r="N3" s="45">
        <v>7.0</v>
      </c>
      <c r="O3" s="45">
        <v>7.0</v>
      </c>
      <c r="P3" s="44">
        <v>8.0</v>
      </c>
      <c r="Q3" s="45">
        <v>9.0</v>
      </c>
      <c r="R3" s="44">
        <v>9.0</v>
      </c>
      <c r="S3" s="45">
        <v>10.0</v>
      </c>
      <c r="T3" s="45">
        <v>11.0</v>
      </c>
      <c r="U3" s="44">
        <v>11.0</v>
      </c>
      <c r="V3" s="46">
        <v>13.0</v>
      </c>
      <c r="W3" s="45">
        <v>13.0</v>
      </c>
      <c r="X3" s="47">
        <v>14.0</v>
      </c>
      <c r="Y3" s="48">
        <v>15.0</v>
      </c>
      <c r="Z3" s="48">
        <v>16.0</v>
      </c>
      <c r="AA3" s="47">
        <v>16.0</v>
      </c>
      <c r="AB3" s="45">
        <v>18.0</v>
      </c>
    </row>
    <row r="4">
      <c r="A4" s="3" t="s">
        <v>323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317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49" t="s">
        <v>318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6" t="s">
        <v>326</v>
      </c>
      <c r="W4" s="7" t="s">
        <v>28</v>
      </c>
      <c r="X4" s="8" t="s">
        <v>29</v>
      </c>
      <c r="Y4" s="8" t="s">
        <v>30</v>
      </c>
      <c r="Z4" s="9" t="s">
        <v>31</v>
      </c>
      <c r="AA4" s="10" t="s">
        <v>32</v>
      </c>
      <c r="AB4" s="8" t="s">
        <v>33</v>
      </c>
    </row>
    <row r="5">
      <c r="B5" s="3" t="s">
        <v>35</v>
      </c>
      <c r="C5" s="3" t="s">
        <v>35</v>
      </c>
      <c r="D5" s="3" t="s">
        <v>35</v>
      </c>
      <c r="E5" s="3" t="s">
        <v>35</v>
      </c>
      <c r="F5" s="3" t="s">
        <v>35</v>
      </c>
      <c r="G5" s="3" t="s">
        <v>35</v>
      </c>
      <c r="H5" s="3" t="s">
        <v>149</v>
      </c>
      <c r="I5" s="3" t="s">
        <v>35</v>
      </c>
      <c r="J5" s="3" t="s">
        <v>35</v>
      </c>
      <c r="K5" s="3" t="s">
        <v>35</v>
      </c>
      <c r="L5" s="3" t="s">
        <v>35</v>
      </c>
      <c r="M5" s="3" t="s">
        <v>35</v>
      </c>
      <c r="N5" s="3" t="s">
        <v>149</v>
      </c>
      <c r="O5" s="3" t="s">
        <v>56</v>
      </c>
      <c r="P5" s="3" t="s">
        <v>35</v>
      </c>
      <c r="Q5" s="3"/>
      <c r="R5" s="3" t="s">
        <v>35</v>
      </c>
      <c r="S5" s="3" t="s">
        <v>234</v>
      </c>
      <c r="T5" s="3"/>
      <c r="U5" s="3" t="s">
        <v>35</v>
      </c>
      <c r="V5" s="3" t="s">
        <v>35</v>
      </c>
      <c r="W5" s="3"/>
      <c r="X5" s="3"/>
      <c r="Y5" s="3" t="s">
        <v>35</v>
      </c>
      <c r="Z5" s="3" t="s">
        <v>35</v>
      </c>
      <c r="AA5" s="3"/>
      <c r="AB5" s="3" t="s">
        <v>44</v>
      </c>
    </row>
    <row r="6">
      <c r="B6" s="3" t="s">
        <v>44</v>
      </c>
      <c r="C6" s="3" t="s">
        <v>44</v>
      </c>
      <c r="D6" s="3" t="s">
        <v>44</v>
      </c>
      <c r="E6" s="3" t="s">
        <v>44</v>
      </c>
      <c r="F6" s="3" t="s">
        <v>44</v>
      </c>
      <c r="G6" s="3" t="s">
        <v>44</v>
      </c>
      <c r="H6" s="3"/>
      <c r="I6" s="3" t="s">
        <v>44</v>
      </c>
      <c r="J6" s="3" t="s">
        <v>44</v>
      </c>
      <c r="K6" s="3" t="s">
        <v>44</v>
      </c>
      <c r="L6" s="3" t="s">
        <v>44</v>
      </c>
      <c r="M6" s="3" t="s">
        <v>44</v>
      </c>
      <c r="N6" s="3" t="s">
        <v>212</v>
      </c>
      <c r="O6" s="3"/>
      <c r="P6" s="3" t="s">
        <v>44</v>
      </c>
      <c r="Q6" s="3"/>
      <c r="R6" s="3" t="s">
        <v>44</v>
      </c>
      <c r="S6" s="3"/>
      <c r="T6" s="3"/>
      <c r="U6" s="3" t="s">
        <v>44</v>
      </c>
      <c r="V6" s="3" t="s">
        <v>44</v>
      </c>
      <c r="W6" s="3"/>
      <c r="X6" s="3"/>
      <c r="Y6" s="3" t="s">
        <v>44</v>
      </c>
      <c r="Z6" s="3" t="s">
        <v>44</v>
      </c>
      <c r="AA6" s="3"/>
    </row>
    <row r="7">
      <c r="D7" s="3" t="s">
        <v>76</v>
      </c>
      <c r="E7" s="3" t="s">
        <v>76</v>
      </c>
      <c r="J7" s="41" t="s">
        <v>76</v>
      </c>
      <c r="L7" s="3" t="s">
        <v>167</v>
      </c>
      <c r="P7" s="3" t="s">
        <v>106</v>
      </c>
      <c r="R7" s="3" t="s">
        <v>76</v>
      </c>
      <c r="U7" s="3" t="s">
        <v>132</v>
      </c>
      <c r="V7" s="3" t="s">
        <v>56</v>
      </c>
      <c r="Y7" s="3" t="s">
        <v>106</v>
      </c>
      <c r="Z7" s="3" t="s">
        <v>76</v>
      </c>
    </row>
    <row r="8">
      <c r="E8" s="3" t="s">
        <v>106</v>
      </c>
      <c r="J8" s="41" t="s">
        <v>94</v>
      </c>
      <c r="P8" s="3" t="s">
        <v>167</v>
      </c>
      <c r="U8" s="3" t="s">
        <v>167</v>
      </c>
      <c r="Z8" s="3" t="s">
        <v>167</v>
      </c>
    </row>
    <row r="9">
      <c r="J9" s="41" t="s">
        <v>69</v>
      </c>
    </row>
    <row r="10">
      <c r="J10" s="41" t="s">
        <v>106</v>
      </c>
    </row>
    <row r="11">
      <c r="J11" s="41" t="s">
        <v>79</v>
      </c>
    </row>
    <row r="12">
      <c r="J12" s="41" t="s">
        <v>108</v>
      </c>
    </row>
    <row r="13">
      <c r="J13" s="41" t="s">
        <v>116</v>
      </c>
    </row>
    <row r="14">
      <c r="J14" s="41" t="s">
        <v>147</v>
      </c>
    </row>
    <row r="15">
      <c r="J15" s="41" t="s">
        <v>132</v>
      </c>
    </row>
    <row r="16">
      <c r="J16" s="41" t="s">
        <v>149</v>
      </c>
    </row>
    <row r="17">
      <c r="J17" s="41" t="s">
        <v>157</v>
      </c>
    </row>
    <row r="18">
      <c r="J18" s="41" t="s">
        <v>182</v>
      </c>
    </row>
    <row r="19">
      <c r="J19" s="41" t="s">
        <v>184</v>
      </c>
    </row>
  </sheetData>
  <hyperlinks>
    <hyperlink r:id="rId1" ref="V4"/>
    <hyperlink r:id="rId2" ref="W4"/>
    <hyperlink r:id="rId3" ref="X4"/>
    <hyperlink r:id="rId4" ref="Y4"/>
    <hyperlink r:id="rId5" ref="Z4"/>
    <hyperlink r:id="rId6" ref="AA4"/>
    <hyperlink r:id="rId7" ref="AB4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 t="s">
        <v>3</v>
      </c>
      <c r="C1" s="3">
        <v>6.0</v>
      </c>
      <c r="D1" s="3">
        <v>7.0</v>
      </c>
      <c r="E1" s="3">
        <v>8.0</v>
      </c>
      <c r="F1" s="3">
        <v>9.0</v>
      </c>
      <c r="G1" s="3">
        <v>10.0</v>
      </c>
      <c r="H1" s="3">
        <v>11.0</v>
      </c>
      <c r="I1" s="3">
        <v>12.0</v>
      </c>
      <c r="J1" s="3">
        <v>13.0</v>
      </c>
      <c r="K1" s="3">
        <v>14.0</v>
      </c>
      <c r="L1" s="3">
        <v>15.0</v>
      </c>
      <c r="M1" s="3">
        <v>16.0</v>
      </c>
      <c r="N1" s="1">
        <v>17.0</v>
      </c>
      <c r="O1" s="1">
        <v>18.0</v>
      </c>
    </row>
    <row r="2">
      <c r="A2" s="3" t="s">
        <v>4</v>
      </c>
      <c r="B2" s="3">
        <v>2000.0</v>
      </c>
      <c r="C2" s="3">
        <v>2002.0</v>
      </c>
      <c r="D2" s="3">
        <v>2003.0</v>
      </c>
      <c r="E2" s="3">
        <v>2004.0</v>
      </c>
      <c r="F2" s="3">
        <v>2005.0</v>
      </c>
      <c r="G2" s="3">
        <v>2007.0</v>
      </c>
      <c r="H2" s="3">
        <v>2008.0</v>
      </c>
      <c r="I2" s="3">
        <v>2009.0</v>
      </c>
      <c r="J2" s="3">
        <v>2011.0</v>
      </c>
      <c r="K2" s="3">
        <v>2013.0</v>
      </c>
      <c r="L2" s="3">
        <v>2015.0</v>
      </c>
      <c r="M2" s="4">
        <v>2017.0</v>
      </c>
      <c r="N2" s="1">
        <v>2019.0</v>
      </c>
      <c r="O2" s="1">
        <v>2021.0</v>
      </c>
    </row>
    <row r="3">
      <c r="A3" s="3" t="s">
        <v>5</v>
      </c>
      <c r="B3" s="44">
        <v>1.0</v>
      </c>
      <c r="C3" s="44">
        <v>1.0</v>
      </c>
      <c r="D3" s="44">
        <v>2.0</v>
      </c>
      <c r="E3" s="44">
        <v>2.0</v>
      </c>
      <c r="F3" s="44">
        <v>4.0</v>
      </c>
      <c r="G3" s="44">
        <v>5.0</v>
      </c>
      <c r="H3" s="44">
        <v>5.0</v>
      </c>
      <c r="I3" s="44">
        <v>6.0</v>
      </c>
      <c r="J3" s="44">
        <v>8.0</v>
      </c>
      <c r="K3" s="44">
        <v>9.0</v>
      </c>
      <c r="L3" s="44">
        <v>11.0</v>
      </c>
      <c r="M3" s="46">
        <v>13.0</v>
      </c>
      <c r="N3" s="48">
        <v>15.0</v>
      </c>
      <c r="O3" s="48">
        <v>16.0</v>
      </c>
    </row>
    <row r="4">
      <c r="A4" s="3" t="s">
        <v>323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11</v>
      </c>
      <c r="G4" s="3" t="s">
        <v>14</v>
      </c>
      <c r="H4" s="3" t="s">
        <v>16</v>
      </c>
      <c r="I4" s="3" t="s">
        <v>17</v>
      </c>
      <c r="J4" s="3" t="s">
        <v>21</v>
      </c>
      <c r="K4" s="3" t="s">
        <v>23</v>
      </c>
      <c r="L4" s="3" t="s">
        <v>26</v>
      </c>
      <c r="M4" s="6" t="s">
        <v>327</v>
      </c>
      <c r="N4" s="8" t="s">
        <v>30</v>
      </c>
      <c r="O4" s="9" t="s">
        <v>31</v>
      </c>
    </row>
    <row r="5">
      <c r="B5" s="3" t="s">
        <v>35</v>
      </c>
      <c r="C5" s="3" t="s">
        <v>35</v>
      </c>
      <c r="D5" s="3" t="s">
        <v>35</v>
      </c>
      <c r="E5" s="3" t="s">
        <v>35</v>
      </c>
      <c r="F5" s="3" t="s">
        <v>35</v>
      </c>
      <c r="G5" s="3" t="s">
        <v>35</v>
      </c>
      <c r="H5" s="3" t="s">
        <v>35</v>
      </c>
      <c r="I5" s="3" t="s">
        <v>35</v>
      </c>
      <c r="J5" s="3" t="s">
        <v>35</v>
      </c>
      <c r="K5" s="3" t="s">
        <v>35</v>
      </c>
      <c r="L5" s="3" t="s">
        <v>35</v>
      </c>
      <c r="M5" s="3" t="s">
        <v>35</v>
      </c>
      <c r="N5" s="3" t="s">
        <v>35</v>
      </c>
      <c r="O5" s="3" t="s">
        <v>35</v>
      </c>
    </row>
    <row r="6">
      <c r="B6" s="3" t="s">
        <v>44</v>
      </c>
      <c r="C6" s="3" t="s">
        <v>44</v>
      </c>
      <c r="D6" s="3" t="s">
        <v>44</v>
      </c>
      <c r="E6" s="3" t="s">
        <v>44</v>
      </c>
      <c r="F6" s="3" t="s">
        <v>44</v>
      </c>
      <c r="G6" s="3" t="s">
        <v>44</v>
      </c>
      <c r="H6" s="3" t="s">
        <v>44</v>
      </c>
      <c r="I6" s="3" t="s">
        <v>44</v>
      </c>
      <c r="J6" s="3" t="s">
        <v>44</v>
      </c>
      <c r="K6" s="3" t="s">
        <v>44</v>
      </c>
      <c r="L6" s="3" t="s">
        <v>44</v>
      </c>
      <c r="M6" s="3" t="s">
        <v>44</v>
      </c>
      <c r="N6" s="3" t="s">
        <v>44</v>
      </c>
      <c r="O6" s="3" t="s">
        <v>44</v>
      </c>
    </row>
    <row r="7">
      <c r="D7" s="3" t="s">
        <v>76</v>
      </c>
      <c r="E7" s="3" t="s">
        <v>76</v>
      </c>
      <c r="I7" s="3" t="s">
        <v>167</v>
      </c>
      <c r="J7" s="3" t="s">
        <v>106</v>
      </c>
      <c r="K7" s="3" t="s">
        <v>76</v>
      </c>
      <c r="L7" s="3" t="s">
        <v>132</v>
      </c>
      <c r="M7" s="3" t="s">
        <v>56</v>
      </c>
      <c r="N7" s="3" t="s">
        <v>106</v>
      </c>
      <c r="O7" s="3" t="s">
        <v>76</v>
      </c>
    </row>
    <row r="8">
      <c r="E8" s="3" t="s">
        <v>106</v>
      </c>
      <c r="J8" s="3" t="s">
        <v>167</v>
      </c>
      <c r="L8" s="3" t="s">
        <v>167</v>
      </c>
      <c r="O8" s="3" t="s">
        <v>167</v>
      </c>
    </row>
  </sheetData>
  <hyperlinks>
    <hyperlink r:id="rId1" ref="M4"/>
    <hyperlink r:id="rId2" ref="N4"/>
    <hyperlink r:id="rId3" ref="O4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7.75"/>
  </cols>
  <sheetData>
    <row r="1">
      <c r="A1" s="50" t="s">
        <v>2</v>
      </c>
      <c r="B1" s="51">
        <v>7.5</v>
      </c>
      <c r="C1" s="51">
        <v>9.5</v>
      </c>
      <c r="D1" s="51">
        <v>10.5</v>
      </c>
      <c r="E1" s="51">
        <v>12.3</v>
      </c>
      <c r="F1" s="51">
        <v>12.5</v>
      </c>
      <c r="G1" s="51">
        <v>12.8</v>
      </c>
      <c r="H1" s="51">
        <v>13.5</v>
      </c>
      <c r="I1" s="51">
        <v>14.3</v>
      </c>
      <c r="J1" s="51">
        <v>14.5</v>
      </c>
      <c r="K1" s="51">
        <v>15.5</v>
      </c>
      <c r="L1" s="52">
        <v>16.5</v>
      </c>
      <c r="M1" s="52">
        <v>17.5</v>
      </c>
      <c r="N1" s="52">
        <v>18.5</v>
      </c>
    </row>
    <row r="2">
      <c r="A2" s="50" t="s">
        <v>4</v>
      </c>
      <c r="B2" s="53">
        <v>2004.0</v>
      </c>
      <c r="C2" s="53">
        <v>2005.0</v>
      </c>
      <c r="D2" s="53">
        <v>2008.0</v>
      </c>
      <c r="E2" s="53">
        <v>2009.0</v>
      </c>
      <c r="F2" s="53">
        <v>2010.0</v>
      </c>
      <c r="G2" s="53">
        <v>2010.0</v>
      </c>
      <c r="H2" s="53">
        <v>2013.0</v>
      </c>
      <c r="I2" s="53">
        <v>2014.0</v>
      </c>
      <c r="J2" s="53">
        <v>2015.0</v>
      </c>
      <c r="K2" s="54">
        <v>2017.0</v>
      </c>
      <c r="L2" s="55">
        <v>2018.0</v>
      </c>
      <c r="M2" s="55">
        <v>2021.0</v>
      </c>
      <c r="N2" s="53">
        <v>2022.0</v>
      </c>
    </row>
    <row r="3">
      <c r="A3" s="50" t="s">
        <v>5</v>
      </c>
      <c r="B3" s="56">
        <v>3.0</v>
      </c>
      <c r="C3" s="56">
        <v>5.0</v>
      </c>
      <c r="D3" s="56">
        <v>5.0</v>
      </c>
      <c r="E3" s="56">
        <v>6.0</v>
      </c>
      <c r="F3" s="56">
        <v>7.0</v>
      </c>
      <c r="G3" s="56">
        <v>7.0</v>
      </c>
      <c r="H3" s="56">
        <v>9.0</v>
      </c>
      <c r="I3" s="56">
        <v>10.0</v>
      </c>
      <c r="J3" s="56">
        <v>11.0</v>
      </c>
      <c r="K3" s="56">
        <v>13.0</v>
      </c>
      <c r="L3" s="57">
        <v>14.0</v>
      </c>
      <c r="M3" s="57">
        <v>16.0</v>
      </c>
      <c r="N3" s="56">
        <v>18.0</v>
      </c>
    </row>
    <row r="4">
      <c r="A4" s="50" t="s">
        <v>323</v>
      </c>
      <c r="B4" s="51" t="s">
        <v>10</v>
      </c>
      <c r="C4" s="58" t="s">
        <v>317</v>
      </c>
      <c r="D4" s="51" t="s">
        <v>15</v>
      </c>
      <c r="E4" s="51" t="s">
        <v>18</v>
      </c>
      <c r="F4" s="49" t="s">
        <v>318</v>
      </c>
      <c r="G4" s="51" t="s">
        <v>20</v>
      </c>
      <c r="H4" s="51" t="s">
        <v>22</v>
      </c>
      <c r="I4" s="51" t="s">
        <v>24</v>
      </c>
      <c r="J4" s="51" t="s">
        <v>25</v>
      </c>
      <c r="K4" s="59" t="s">
        <v>28</v>
      </c>
      <c r="L4" s="60" t="s">
        <v>29</v>
      </c>
      <c r="M4" s="61" t="s">
        <v>32</v>
      </c>
      <c r="N4" s="62" t="s">
        <v>33</v>
      </c>
    </row>
    <row r="5">
      <c r="B5" s="41" t="s">
        <v>328</v>
      </c>
      <c r="C5" s="63" t="s">
        <v>329</v>
      </c>
      <c r="D5" s="41" t="s">
        <v>35</v>
      </c>
      <c r="E5" s="41" t="s">
        <v>167</v>
      </c>
      <c r="F5" s="63" t="s">
        <v>330</v>
      </c>
      <c r="G5" s="64" t="s">
        <v>56</v>
      </c>
      <c r="H5" s="65" t="s">
        <v>35</v>
      </c>
      <c r="I5" s="1" t="s">
        <v>234</v>
      </c>
      <c r="J5" s="66" t="s">
        <v>328</v>
      </c>
      <c r="K5" s="66" t="s">
        <v>328</v>
      </c>
      <c r="L5" s="64" t="s">
        <v>238</v>
      </c>
      <c r="M5" s="67" t="s">
        <v>299</v>
      </c>
      <c r="N5" s="65" t="s">
        <v>44</v>
      </c>
    </row>
    <row r="6">
      <c r="B6" s="41" t="s">
        <v>331</v>
      </c>
      <c r="C6" s="63" t="s">
        <v>48</v>
      </c>
      <c r="D6" s="41" t="s">
        <v>44</v>
      </c>
      <c r="E6" s="1" t="s">
        <v>56</v>
      </c>
      <c r="F6" s="63" t="s">
        <v>332</v>
      </c>
      <c r="G6" s="64" t="s">
        <v>97</v>
      </c>
      <c r="H6" s="65" t="s">
        <v>44</v>
      </c>
      <c r="I6" s="63" t="s">
        <v>56</v>
      </c>
      <c r="J6" s="66" t="s">
        <v>331</v>
      </c>
      <c r="K6" s="66" t="s">
        <v>331</v>
      </c>
      <c r="L6" s="65" t="s">
        <v>35</v>
      </c>
      <c r="M6" s="65" t="s">
        <v>35</v>
      </c>
      <c r="N6" s="68" t="s">
        <v>333</v>
      </c>
      <c r="R6" s="63"/>
    </row>
    <row r="7">
      <c r="B7" s="41" t="s">
        <v>334</v>
      </c>
      <c r="C7" s="63" t="s">
        <v>120</v>
      </c>
      <c r="D7" s="41" t="s">
        <v>76</v>
      </c>
      <c r="E7" s="1" t="s">
        <v>62</v>
      </c>
      <c r="F7" s="63" t="s">
        <v>185</v>
      </c>
      <c r="G7" s="64" t="s">
        <v>53</v>
      </c>
      <c r="H7" s="65" t="s">
        <v>204</v>
      </c>
      <c r="I7" s="63" t="s">
        <v>226</v>
      </c>
      <c r="J7" s="66" t="s">
        <v>335</v>
      </c>
      <c r="K7" s="66" t="s">
        <v>335</v>
      </c>
      <c r="L7" s="69" t="s">
        <v>239</v>
      </c>
      <c r="M7" s="65" t="s">
        <v>44</v>
      </c>
      <c r="N7" s="63" t="s">
        <v>56</v>
      </c>
      <c r="R7" s="63"/>
    </row>
    <row r="8">
      <c r="B8" s="41" t="s">
        <v>94</v>
      </c>
      <c r="C8" s="63" t="s">
        <v>56</v>
      </c>
      <c r="D8" s="41" t="s">
        <v>94</v>
      </c>
      <c r="E8" s="1" t="s">
        <v>196</v>
      </c>
      <c r="F8" s="63" t="s">
        <v>336</v>
      </c>
      <c r="G8" s="64" t="s">
        <v>253</v>
      </c>
      <c r="H8" s="65" t="s">
        <v>208</v>
      </c>
      <c r="I8" s="63" t="s">
        <v>227</v>
      </c>
      <c r="J8" s="66" t="s">
        <v>337</v>
      </c>
      <c r="K8" s="66" t="s">
        <v>337</v>
      </c>
      <c r="L8" s="64" t="s">
        <v>240</v>
      </c>
      <c r="M8" s="70" t="s">
        <v>338</v>
      </c>
      <c r="N8" s="63" t="s">
        <v>339</v>
      </c>
      <c r="R8" s="63"/>
    </row>
    <row r="9">
      <c r="B9" s="41" t="s">
        <v>69</v>
      </c>
      <c r="C9" s="63" t="s">
        <v>94</v>
      </c>
      <c r="D9" s="41" t="s">
        <v>69</v>
      </c>
      <c r="E9" s="1" t="s">
        <v>176</v>
      </c>
      <c r="F9" s="63" t="s">
        <v>340</v>
      </c>
      <c r="G9" s="64" t="s">
        <v>256</v>
      </c>
      <c r="H9" s="65" t="s">
        <v>221</v>
      </c>
      <c r="I9" s="63" t="s">
        <v>341</v>
      </c>
      <c r="J9" s="66" t="s">
        <v>342</v>
      </c>
      <c r="K9" s="66" t="s">
        <v>342</v>
      </c>
      <c r="L9" s="69" t="s">
        <v>268</v>
      </c>
      <c r="M9" s="70" t="s">
        <v>343</v>
      </c>
      <c r="N9" s="63" t="s">
        <v>344</v>
      </c>
    </row>
    <row r="10">
      <c r="B10" s="41" t="s">
        <v>345</v>
      </c>
      <c r="C10" s="63" t="s">
        <v>132</v>
      </c>
      <c r="D10" s="41" t="s">
        <v>106</v>
      </c>
      <c r="E10" s="1" t="s">
        <v>35</v>
      </c>
      <c r="F10" s="63" t="s">
        <v>343</v>
      </c>
      <c r="G10" s="64" t="s">
        <v>257</v>
      </c>
      <c r="H10" s="65" t="s">
        <v>346</v>
      </c>
      <c r="I10" s="63" t="s">
        <v>347</v>
      </c>
      <c r="J10" s="66" t="s">
        <v>348</v>
      </c>
      <c r="K10" s="66" t="s">
        <v>348</v>
      </c>
      <c r="L10" s="65" t="s">
        <v>44</v>
      </c>
      <c r="M10" s="71" t="s">
        <v>276</v>
      </c>
      <c r="N10" s="63" t="s">
        <v>349</v>
      </c>
    </row>
    <row r="11">
      <c r="B11" s="41" t="s">
        <v>79</v>
      </c>
      <c r="C11" s="63" t="s">
        <v>350</v>
      </c>
      <c r="D11" s="41" t="s">
        <v>79</v>
      </c>
      <c r="E11" s="1" t="s">
        <v>44</v>
      </c>
      <c r="F11" s="63" t="s">
        <v>351</v>
      </c>
      <c r="G11" s="64" t="s">
        <v>44</v>
      </c>
      <c r="H11" s="65" t="s">
        <v>165</v>
      </c>
      <c r="I11" s="63" t="s">
        <v>352</v>
      </c>
      <c r="J11" s="66" t="s">
        <v>353</v>
      </c>
      <c r="K11" s="66" t="s">
        <v>353</v>
      </c>
      <c r="L11" s="64" t="s">
        <v>354</v>
      </c>
      <c r="M11" s="72" t="s">
        <v>277</v>
      </c>
      <c r="N11" s="63" t="s">
        <v>351</v>
      </c>
    </row>
    <row r="12">
      <c r="B12" s="41" t="s">
        <v>355</v>
      </c>
      <c r="C12" s="63" t="s">
        <v>88</v>
      </c>
      <c r="D12" s="41" t="s">
        <v>108</v>
      </c>
      <c r="E12" s="1" t="s">
        <v>94</v>
      </c>
      <c r="F12" s="63" t="s">
        <v>198</v>
      </c>
      <c r="G12" s="64"/>
      <c r="H12" s="65" t="s">
        <v>197</v>
      </c>
      <c r="I12" s="63" t="s">
        <v>329</v>
      </c>
      <c r="J12" s="66" t="s">
        <v>356</v>
      </c>
      <c r="K12" s="66" t="s">
        <v>356</v>
      </c>
      <c r="L12" s="69" t="s">
        <v>357</v>
      </c>
      <c r="M12" s="73" t="s">
        <v>85</v>
      </c>
      <c r="N12" s="63" t="s">
        <v>358</v>
      </c>
    </row>
    <row r="13">
      <c r="B13" s="41" t="s">
        <v>359</v>
      </c>
      <c r="C13" s="63" t="s">
        <v>334</v>
      </c>
      <c r="D13" s="41" t="s">
        <v>116</v>
      </c>
      <c r="E13" s="1" t="s">
        <v>69</v>
      </c>
      <c r="F13" s="63" t="s">
        <v>360</v>
      </c>
      <c r="G13" s="64"/>
      <c r="H13" s="74" t="s">
        <v>223</v>
      </c>
      <c r="I13" s="63" t="s">
        <v>334</v>
      </c>
      <c r="J13" s="66" t="s">
        <v>361</v>
      </c>
      <c r="K13" s="66" t="s">
        <v>361</v>
      </c>
      <c r="L13" s="69" t="s">
        <v>362</v>
      </c>
      <c r="M13" s="73" t="s">
        <v>336</v>
      </c>
      <c r="N13" s="63" t="s">
        <v>363</v>
      </c>
      <c r="O13" s="63"/>
      <c r="P13" s="63"/>
      <c r="Q13" s="63"/>
      <c r="R13" s="63"/>
    </row>
    <row r="14">
      <c r="B14" s="41" t="s">
        <v>351</v>
      </c>
      <c r="C14" s="63" t="s">
        <v>364</v>
      </c>
      <c r="D14" s="41" t="s">
        <v>147</v>
      </c>
      <c r="F14" s="63" t="s">
        <v>356</v>
      </c>
      <c r="H14" s="65" t="s">
        <v>225</v>
      </c>
      <c r="I14" s="63" t="s">
        <v>328</v>
      </c>
      <c r="J14" s="66" t="s">
        <v>365</v>
      </c>
      <c r="K14" s="66" t="s">
        <v>365</v>
      </c>
      <c r="L14" s="69" t="s">
        <v>244</v>
      </c>
      <c r="M14" s="67" t="s">
        <v>366</v>
      </c>
      <c r="N14" s="63" t="s">
        <v>226</v>
      </c>
      <c r="O14" s="64"/>
      <c r="P14" s="64"/>
    </row>
    <row r="15">
      <c r="B15" s="41" t="s">
        <v>350</v>
      </c>
      <c r="C15" s="63" t="s">
        <v>367</v>
      </c>
      <c r="D15" s="41" t="s">
        <v>132</v>
      </c>
      <c r="F15" s="63" t="s">
        <v>368</v>
      </c>
      <c r="H15" s="75"/>
      <c r="I15" s="63" t="s">
        <v>369</v>
      </c>
      <c r="J15" s="66" t="s">
        <v>370</v>
      </c>
      <c r="K15" s="66" t="s">
        <v>370</v>
      </c>
      <c r="L15" s="69" t="s">
        <v>371</v>
      </c>
      <c r="M15" s="73" t="s">
        <v>372</v>
      </c>
      <c r="N15" s="63" t="s">
        <v>373</v>
      </c>
      <c r="O15" s="63"/>
      <c r="P15" s="63"/>
      <c r="R15" s="63"/>
    </row>
    <row r="16">
      <c r="C16" s="63" t="s">
        <v>374</v>
      </c>
      <c r="D16" s="41" t="s">
        <v>149</v>
      </c>
      <c r="F16" s="63" t="s">
        <v>369</v>
      </c>
      <c r="H16" s="76"/>
      <c r="I16" s="63" t="s">
        <v>348</v>
      </c>
      <c r="J16" s="66" t="s">
        <v>375</v>
      </c>
      <c r="K16" s="66" t="s">
        <v>375</v>
      </c>
      <c r="L16" s="64" t="s">
        <v>376</v>
      </c>
      <c r="M16" s="73" t="s">
        <v>360</v>
      </c>
      <c r="N16" s="63" t="s">
        <v>334</v>
      </c>
      <c r="O16" s="63"/>
      <c r="P16" s="63"/>
      <c r="R16" s="63"/>
    </row>
    <row r="17">
      <c r="C17" s="63" t="s">
        <v>85</v>
      </c>
      <c r="D17" s="41" t="s">
        <v>157</v>
      </c>
      <c r="F17" s="63" t="s">
        <v>377</v>
      </c>
      <c r="H17" s="76"/>
      <c r="I17" s="63" t="s">
        <v>375</v>
      </c>
      <c r="J17" s="66" t="s">
        <v>378</v>
      </c>
      <c r="K17" s="66" t="s">
        <v>378</v>
      </c>
      <c r="L17" s="64" t="s">
        <v>379</v>
      </c>
      <c r="M17" s="73" t="s">
        <v>373</v>
      </c>
      <c r="N17" s="63" t="s">
        <v>380</v>
      </c>
      <c r="O17" s="63"/>
      <c r="P17" s="63"/>
      <c r="R17" s="63"/>
    </row>
    <row r="18">
      <c r="C18" s="63" t="s">
        <v>86</v>
      </c>
      <c r="D18" s="41" t="s">
        <v>182</v>
      </c>
      <c r="F18" s="77" t="s">
        <v>331</v>
      </c>
      <c r="H18" s="76"/>
      <c r="I18" s="63" t="s">
        <v>381</v>
      </c>
      <c r="J18" s="66" t="s">
        <v>382</v>
      </c>
      <c r="K18" s="66" t="s">
        <v>382</v>
      </c>
      <c r="L18" s="69" t="s">
        <v>241</v>
      </c>
      <c r="M18" s="73" t="s">
        <v>383</v>
      </c>
      <c r="N18" s="63" t="s">
        <v>361</v>
      </c>
      <c r="O18" s="63"/>
      <c r="P18" s="63"/>
    </row>
    <row r="19">
      <c r="C19" s="63" t="s">
        <v>341</v>
      </c>
      <c r="D19" s="41" t="s">
        <v>184</v>
      </c>
      <c r="F19" s="77" t="s">
        <v>344</v>
      </c>
      <c r="H19" s="76"/>
      <c r="I19" s="63" t="s">
        <v>384</v>
      </c>
      <c r="J19" s="78" t="s">
        <v>132</v>
      </c>
      <c r="K19" s="78" t="s">
        <v>132</v>
      </c>
      <c r="L19" s="69" t="s">
        <v>247</v>
      </c>
      <c r="M19" s="79"/>
      <c r="N19" s="63" t="s">
        <v>268</v>
      </c>
      <c r="O19" s="63"/>
      <c r="P19" s="63"/>
      <c r="R19" s="63"/>
    </row>
    <row r="20">
      <c r="C20" s="63" t="s">
        <v>385</v>
      </c>
      <c r="F20" s="77" t="s">
        <v>329</v>
      </c>
      <c r="H20" s="76"/>
      <c r="I20" s="63" t="s">
        <v>353</v>
      </c>
      <c r="K20" s="78" t="s">
        <v>241</v>
      </c>
      <c r="L20" s="69" t="s">
        <v>245</v>
      </c>
      <c r="M20" s="64"/>
      <c r="N20" s="63" t="s">
        <v>386</v>
      </c>
      <c r="O20" s="63"/>
      <c r="P20" s="63"/>
      <c r="R20" s="63"/>
    </row>
    <row r="21">
      <c r="C21" s="63" t="s">
        <v>69</v>
      </c>
      <c r="F21" s="63" t="s">
        <v>363</v>
      </c>
      <c r="H21" s="76"/>
      <c r="I21" s="63" t="s">
        <v>340</v>
      </c>
      <c r="K21" s="78" t="s">
        <v>387</v>
      </c>
      <c r="L21" s="69" t="s">
        <v>383</v>
      </c>
      <c r="M21" s="80"/>
      <c r="N21" s="63" t="s">
        <v>354</v>
      </c>
      <c r="O21" s="63"/>
      <c r="P21" s="63"/>
    </row>
    <row r="22">
      <c r="C22" s="63" t="s">
        <v>345</v>
      </c>
      <c r="F22" s="63" t="s">
        <v>388</v>
      </c>
      <c r="H22" s="76"/>
      <c r="I22" s="63" t="s">
        <v>344</v>
      </c>
      <c r="K22" s="78" t="s">
        <v>359</v>
      </c>
      <c r="L22" s="69" t="s">
        <v>79</v>
      </c>
      <c r="M22" s="79"/>
      <c r="N22" s="63" t="s">
        <v>345</v>
      </c>
      <c r="O22" s="79"/>
      <c r="P22" s="79"/>
    </row>
    <row r="23">
      <c r="C23" s="63" t="s">
        <v>79</v>
      </c>
      <c r="F23" s="63" t="s">
        <v>372</v>
      </c>
      <c r="H23" s="76"/>
      <c r="I23" s="63" t="s">
        <v>389</v>
      </c>
      <c r="K23" s="71" t="s">
        <v>276</v>
      </c>
      <c r="L23" s="64" t="s">
        <v>85</v>
      </c>
      <c r="M23" s="64"/>
      <c r="N23" s="63" t="s">
        <v>244</v>
      </c>
      <c r="O23" s="64"/>
      <c r="P23" s="64"/>
    </row>
    <row r="24">
      <c r="C24" s="63" t="s">
        <v>355</v>
      </c>
      <c r="F24" s="63" t="s">
        <v>353</v>
      </c>
      <c r="H24" s="81"/>
      <c r="I24" s="63" t="s">
        <v>345</v>
      </c>
      <c r="K24" s="72" t="s">
        <v>277</v>
      </c>
      <c r="L24" s="64" t="s">
        <v>337</v>
      </c>
      <c r="M24" s="64"/>
      <c r="N24" s="63" t="s">
        <v>390</v>
      </c>
      <c r="O24" s="64"/>
      <c r="P24" s="64"/>
    </row>
    <row r="25">
      <c r="C25" s="63" t="s">
        <v>391</v>
      </c>
      <c r="F25" s="63" t="s">
        <v>335</v>
      </c>
      <c r="H25" s="76"/>
      <c r="I25" s="63" t="s">
        <v>361</v>
      </c>
      <c r="L25" s="64" t="s">
        <v>348</v>
      </c>
      <c r="M25" s="79"/>
      <c r="N25" s="63" t="s">
        <v>357</v>
      </c>
      <c r="O25" s="79"/>
      <c r="P25" s="79"/>
    </row>
    <row r="26">
      <c r="C26" s="63" t="s">
        <v>159</v>
      </c>
      <c r="F26" s="63" t="s">
        <v>366</v>
      </c>
      <c r="H26" s="82"/>
      <c r="I26" s="63" t="s">
        <v>342</v>
      </c>
      <c r="L26" s="69" t="s">
        <v>355</v>
      </c>
      <c r="M26" s="64"/>
      <c r="N26" s="63" t="s">
        <v>227</v>
      </c>
      <c r="O26" s="64"/>
      <c r="P26" s="64"/>
    </row>
    <row r="27">
      <c r="C27" s="63" t="s">
        <v>359</v>
      </c>
      <c r="F27" s="63" t="s">
        <v>392</v>
      </c>
      <c r="H27" s="75"/>
      <c r="I27" s="63" t="s">
        <v>387</v>
      </c>
      <c r="L27" s="64" t="s">
        <v>159</v>
      </c>
      <c r="M27" s="79"/>
      <c r="N27" s="63" t="s">
        <v>374</v>
      </c>
      <c r="O27" s="79"/>
      <c r="P27" s="79"/>
    </row>
    <row r="28">
      <c r="C28" s="63" t="s">
        <v>154</v>
      </c>
      <c r="F28" s="63" t="s">
        <v>194</v>
      </c>
      <c r="H28" s="63"/>
      <c r="I28" s="68" t="s">
        <v>352</v>
      </c>
      <c r="J28" s="63"/>
      <c r="L28" s="69" t="s">
        <v>367</v>
      </c>
      <c r="M28" s="64"/>
      <c r="N28" s="63" t="s">
        <v>328</v>
      </c>
      <c r="O28" s="64"/>
      <c r="P28" s="64"/>
    </row>
    <row r="29">
      <c r="C29" s="63" t="s">
        <v>375</v>
      </c>
      <c r="F29" s="63" t="s">
        <v>393</v>
      </c>
      <c r="G29" s="64"/>
      <c r="I29" s="63" t="s">
        <v>394</v>
      </c>
      <c r="J29" s="63"/>
      <c r="L29" s="69" t="s">
        <v>393</v>
      </c>
      <c r="M29" s="79"/>
      <c r="N29" s="63" t="s">
        <v>387</v>
      </c>
      <c r="O29" s="79"/>
      <c r="P29" s="79"/>
    </row>
    <row r="30">
      <c r="C30" s="63" t="s">
        <v>351</v>
      </c>
      <c r="D30" s="63"/>
      <c r="E30" s="63"/>
      <c r="F30" s="63" t="s">
        <v>387</v>
      </c>
      <c r="G30" s="64"/>
      <c r="I30" s="63" t="s">
        <v>395</v>
      </c>
      <c r="J30" s="63"/>
      <c r="L30" s="69" t="s">
        <v>361</v>
      </c>
      <c r="N30" s="63" t="s">
        <v>396</v>
      </c>
      <c r="O30" s="64"/>
      <c r="P30" s="64"/>
    </row>
    <row r="31">
      <c r="E31" s="63"/>
      <c r="F31" s="63" t="s">
        <v>338</v>
      </c>
      <c r="G31" s="64"/>
      <c r="I31" s="63" t="s">
        <v>355</v>
      </c>
      <c r="J31" s="19"/>
      <c r="L31" s="69" t="s">
        <v>351</v>
      </c>
      <c r="M31" s="79"/>
      <c r="N31" s="63" t="s">
        <v>353</v>
      </c>
      <c r="O31" s="79"/>
      <c r="P31" s="79"/>
    </row>
    <row r="32">
      <c r="D32" s="63"/>
      <c r="E32" s="63"/>
      <c r="F32" s="63" t="s">
        <v>337</v>
      </c>
      <c r="G32" s="64"/>
      <c r="I32" s="63" t="s">
        <v>397</v>
      </c>
      <c r="J32" s="83"/>
      <c r="K32" s="83"/>
      <c r="L32" s="69" t="s">
        <v>383</v>
      </c>
      <c r="M32" s="64"/>
      <c r="N32" s="63" t="s">
        <v>398</v>
      </c>
      <c r="O32" s="64"/>
      <c r="P32" s="64"/>
    </row>
    <row r="33">
      <c r="D33" s="63"/>
      <c r="E33" s="63"/>
      <c r="F33" s="77" t="s">
        <v>328</v>
      </c>
      <c r="G33" s="64"/>
      <c r="I33" s="63" t="s">
        <v>361</v>
      </c>
      <c r="K33" s="84"/>
      <c r="L33" s="69" t="s">
        <v>241</v>
      </c>
      <c r="M33" s="79"/>
      <c r="O33" s="79"/>
      <c r="P33" s="79"/>
    </row>
    <row r="34">
      <c r="D34" s="63"/>
      <c r="E34" s="63"/>
      <c r="F34" s="77" t="s">
        <v>389</v>
      </c>
      <c r="G34" s="64"/>
      <c r="I34" s="63" t="s">
        <v>331</v>
      </c>
      <c r="K34" s="85"/>
      <c r="L34" s="64" t="s">
        <v>391</v>
      </c>
      <c r="M34" s="64"/>
      <c r="N34" s="64"/>
      <c r="O34" s="64"/>
      <c r="P34" s="64"/>
    </row>
    <row r="35">
      <c r="E35" s="63"/>
      <c r="G35" s="64"/>
      <c r="I35" s="63" t="s">
        <v>378</v>
      </c>
      <c r="K35" s="85"/>
      <c r="L35" s="64" t="s">
        <v>360</v>
      </c>
      <c r="M35" s="79"/>
      <c r="N35" s="79"/>
      <c r="O35" s="79"/>
      <c r="P35" s="79"/>
    </row>
    <row r="36">
      <c r="D36" s="63"/>
      <c r="E36" s="63"/>
      <c r="G36" s="64"/>
      <c r="I36" s="63" t="s">
        <v>338</v>
      </c>
      <c r="K36" s="86"/>
      <c r="L36" s="64" t="s">
        <v>377</v>
      </c>
      <c r="M36" s="64"/>
      <c r="N36" s="64"/>
      <c r="O36" s="64"/>
      <c r="P36" s="64"/>
    </row>
    <row r="37">
      <c r="D37" s="63"/>
      <c r="E37" s="63"/>
      <c r="G37" s="64"/>
      <c r="I37" s="63" t="s">
        <v>337</v>
      </c>
      <c r="K37" s="86"/>
      <c r="L37" s="64" t="s">
        <v>375</v>
      </c>
      <c r="M37" s="80"/>
      <c r="N37" s="80"/>
      <c r="O37" s="80"/>
      <c r="P37" s="80"/>
    </row>
    <row r="38">
      <c r="D38" s="63"/>
      <c r="E38" s="63"/>
      <c r="H38" s="63"/>
      <c r="I38" s="63" t="s">
        <v>351</v>
      </c>
      <c r="K38" s="86"/>
      <c r="L38" s="64" t="s">
        <v>359</v>
      </c>
      <c r="M38" s="87"/>
      <c r="N38" s="87"/>
      <c r="O38" s="87"/>
      <c r="P38" s="87"/>
    </row>
    <row r="39">
      <c r="D39" s="63"/>
      <c r="E39" s="63"/>
      <c r="H39" s="63"/>
      <c r="I39" s="63" t="s">
        <v>79</v>
      </c>
      <c r="K39" s="85"/>
      <c r="L39" s="64" t="s">
        <v>338</v>
      </c>
      <c r="M39" s="79"/>
      <c r="N39" s="79"/>
      <c r="O39" s="79"/>
    </row>
    <row r="40">
      <c r="D40" s="63"/>
      <c r="E40" s="63"/>
      <c r="I40" s="63" t="s">
        <v>359</v>
      </c>
      <c r="K40" s="86"/>
      <c r="L40" s="64" t="s">
        <v>387</v>
      </c>
      <c r="M40" s="64" t="s">
        <v>399</v>
      </c>
    </row>
    <row r="41">
      <c r="D41" s="63"/>
      <c r="E41" s="63"/>
      <c r="H41" s="77"/>
      <c r="K41" s="85"/>
      <c r="L41" s="64" t="s">
        <v>356</v>
      </c>
      <c r="M41" s="79"/>
      <c r="N41" s="79"/>
      <c r="O41" s="79"/>
      <c r="P41" s="79"/>
    </row>
    <row r="42">
      <c r="F42" s="63"/>
      <c r="H42" s="63"/>
      <c r="I42" s="63"/>
      <c r="K42" s="86"/>
      <c r="L42" s="64" t="s">
        <v>397</v>
      </c>
      <c r="O42" s="64" t="s">
        <v>399</v>
      </c>
    </row>
    <row r="43">
      <c r="H43" s="63"/>
      <c r="I43" s="63"/>
      <c r="K43" s="86"/>
      <c r="L43" s="64" t="s">
        <v>245</v>
      </c>
      <c r="O43" s="79"/>
      <c r="P43" s="79"/>
    </row>
    <row r="44">
      <c r="H44" s="63"/>
      <c r="I44" s="63"/>
      <c r="K44" s="84"/>
      <c r="L44" s="64" t="s">
        <v>328</v>
      </c>
      <c r="P44" s="64"/>
    </row>
    <row r="45">
      <c r="H45" s="63"/>
      <c r="I45" s="63"/>
      <c r="K45" s="84"/>
      <c r="L45" s="64" t="s">
        <v>359</v>
      </c>
      <c r="P45" s="79"/>
    </row>
    <row r="46">
      <c r="H46" s="63"/>
      <c r="I46" s="63"/>
      <c r="K46" s="86"/>
      <c r="L46" s="64" t="s">
        <v>378</v>
      </c>
      <c r="P46" s="64"/>
    </row>
    <row r="47">
      <c r="H47" s="63"/>
      <c r="I47" s="63"/>
      <c r="K47" s="88"/>
      <c r="L47" s="64" t="s">
        <v>364</v>
      </c>
      <c r="P47" s="79"/>
    </row>
    <row r="48">
      <c r="H48" s="63"/>
      <c r="I48" s="63"/>
      <c r="L48" s="64" t="s">
        <v>368</v>
      </c>
      <c r="P48" s="64"/>
    </row>
    <row r="49">
      <c r="H49" s="63"/>
      <c r="I49" s="63"/>
      <c r="L49" s="64" t="s">
        <v>247</v>
      </c>
      <c r="P49" s="79"/>
    </row>
    <row r="50">
      <c r="H50" s="63"/>
      <c r="I50" s="63"/>
      <c r="L50" s="64" t="s">
        <v>331</v>
      </c>
      <c r="P50" s="64"/>
    </row>
    <row r="51">
      <c r="H51" s="63"/>
      <c r="I51" s="63"/>
      <c r="L51" s="64" t="s">
        <v>369</v>
      </c>
      <c r="P51" s="79"/>
    </row>
    <row r="52">
      <c r="H52" s="63"/>
      <c r="I52" s="63"/>
      <c r="L52" s="79"/>
      <c r="P52" s="64"/>
    </row>
    <row r="53">
      <c r="H53" s="63"/>
      <c r="I53" s="63"/>
      <c r="M53" s="80"/>
      <c r="O53" s="80"/>
      <c r="P53" s="80"/>
    </row>
    <row r="54">
      <c r="H54" s="77"/>
      <c r="I54" s="77"/>
      <c r="O54" s="64"/>
      <c r="P54" s="64"/>
    </row>
    <row r="55">
      <c r="H55" s="77"/>
      <c r="I55" s="77"/>
    </row>
  </sheetData>
  <hyperlinks>
    <hyperlink r:id="rId1" ref="K4"/>
    <hyperlink r:id="rId2" ref="L4"/>
    <hyperlink r:id="rId3" ref="M4"/>
    <hyperlink r:id="rId4" ref="N4"/>
    <hyperlink r:id="rId5" ref="J5"/>
    <hyperlink r:id="rId6" ref="K5"/>
    <hyperlink r:id="rId7" ref="J6"/>
    <hyperlink r:id="rId8" ref="K6"/>
    <hyperlink r:id="rId9" ref="J7"/>
    <hyperlink r:id="rId10" ref="K7"/>
    <hyperlink r:id="rId11" ref="L7"/>
    <hyperlink r:id="rId12" ref="J8"/>
    <hyperlink r:id="rId13" ref="K8"/>
    <hyperlink r:id="rId14" ref="J9"/>
    <hyperlink r:id="rId15" ref="K9"/>
    <hyperlink r:id="rId16" ref="L9"/>
    <hyperlink r:id="rId17" ref="J10"/>
    <hyperlink r:id="rId18" ref="K10"/>
    <hyperlink r:id="rId19" ref="M10"/>
    <hyperlink r:id="rId20" ref="J11"/>
    <hyperlink r:id="rId21" ref="K11"/>
    <hyperlink r:id="rId22" ref="M11"/>
    <hyperlink r:id="rId23" ref="J12"/>
    <hyperlink r:id="rId24" ref="K12"/>
    <hyperlink r:id="rId25" ref="L12"/>
    <hyperlink r:id="rId26" ref="J13"/>
    <hyperlink r:id="rId27" ref="K13"/>
    <hyperlink r:id="rId28" ref="L13"/>
    <hyperlink r:id="rId29" ref="J14"/>
    <hyperlink r:id="rId30" ref="K14"/>
    <hyperlink r:id="rId31" ref="L14"/>
    <hyperlink r:id="rId32" ref="J15"/>
    <hyperlink r:id="rId33" ref="K15"/>
    <hyperlink r:id="rId34" ref="L15"/>
    <hyperlink r:id="rId35" ref="J16"/>
    <hyperlink r:id="rId36" ref="K16"/>
    <hyperlink r:id="rId37" ref="J17"/>
    <hyperlink r:id="rId38" ref="K17"/>
    <hyperlink r:id="rId39" ref="J18"/>
    <hyperlink r:id="rId40" ref="K18"/>
    <hyperlink r:id="rId41" ref="L18"/>
    <hyperlink r:id="rId42" ref="J19"/>
    <hyperlink r:id="rId43" ref="K19"/>
    <hyperlink r:id="rId44" ref="L19"/>
    <hyperlink r:id="rId45" ref="K20"/>
    <hyperlink r:id="rId46" ref="L20"/>
    <hyperlink r:id="rId47" ref="K21"/>
    <hyperlink r:id="rId48" ref="L21"/>
    <hyperlink r:id="rId49" ref="K22"/>
    <hyperlink r:id="rId50" ref="L22"/>
    <hyperlink r:id="rId51" ref="K23"/>
    <hyperlink r:id="rId52" ref="K24"/>
    <hyperlink r:id="rId53" ref="L26"/>
    <hyperlink r:id="rId54" ref="L28"/>
    <hyperlink r:id="rId55" ref="L29"/>
    <hyperlink r:id="rId56" ref="L30"/>
    <hyperlink r:id="rId57" ref="L31"/>
    <hyperlink r:id="rId58" ref="L32"/>
    <hyperlink r:id="rId59" ref="L33"/>
  </hyperlinks>
  <drawing r:id="rId6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 t="s">
        <v>4</v>
      </c>
      <c r="C1" s="3" t="s">
        <v>5</v>
      </c>
      <c r="D1" s="3" t="s">
        <v>323</v>
      </c>
    </row>
    <row r="2">
      <c r="A2" s="3" t="s">
        <v>3</v>
      </c>
      <c r="B2" s="3">
        <v>2000.0</v>
      </c>
      <c r="C2" s="44">
        <v>1.0</v>
      </c>
      <c r="D2" s="3" t="s">
        <v>6</v>
      </c>
    </row>
    <row r="3">
      <c r="A3" s="3">
        <v>6.0</v>
      </c>
      <c r="B3" s="3">
        <v>2002.0</v>
      </c>
      <c r="C3" s="44">
        <v>1.0</v>
      </c>
      <c r="D3" s="3" t="s">
        <v>7</v>
      </c>
    </row>
    <row r="4">
      <c r="A4" s="3">
        <v>7.0</v>
      </c>
      <c r="B4" s="3">
        <v>2003.0</v>
      </c>
      <c r="C4" s="44">
        <v>2.0</v>
      </c>
      <c r="D4" s="3" t="s">
        <v>8</v>
      </c>
    </row>
    <row r="5">
      <c r="A5" s="3">
        <v>8.0</v>
      </c>
      <c r="B5" s="3">
        <v>2004.0</v>
      </c>
      <c r="C5" s="44">
        <v>2.0</v>
      </c>
      <c r="D5" s="3" t="s">
        <v>9</v>
      </c>
    </row>
    <row r="6">
      <c r="A6" s="3">
        <v>9.0</v>
      </c>
      <c r="B6" s="3">
        <v>2005.0</v>
      </c>
      <c r="C6" s="44">
        <v>4.0</v>
      </c>
      <c r="D6" s="3" t="s">
        <v>11</v>
      </c>
    </row>
    <row r="7">
      <c r="A7" s="3">
        <v>10.0</v>
      </c>
      <c r="B7" s="3">
        <v>2007.0</v>
      </c>
      <c r="C7" s="44">
        <v>5.0</v>
      </c>
      <c r="D7" s="3" t="s">
        <v>14</v>
      </c>
    </row>
    <row r="8">
      <c r="A8" s="3">
        <v>11.0</v>
      </c>
      <c r="B8" s="3">
        <v>2008.0</v>
      </c>
      <c r="C8" s="44">
        <v>5.0</v>
      </c>
      <c r="D8" s="3" t="s">
        <v>16</v>
      </c>
    </row>
    <row r="9">
      <c r="A9" s="3">
        <v>12.0</v>
      </c>
      <c r="B9" s="3">
        <v>2009.0</v>
      </c>
      <c r="C9" s="44">
        <v>6.0</v>
      </c>
      <c r="D9" s="3" t="s">
        <v>17</v>
      </c>
    </row>
    <row r="10">
      <c r="A10" s="3">
        <v>13.0</v>
      </c>
      <c r="B10" s="3">
        <v>2011.0</v>
      </c>
      <c r="C10" s="44">
        <v>8.0</v>
      </c>
      <c r="D10" s="3" t="s">
        <v>21</v>
      </c>
    </row>
    <row r="11">
      <c r="A11" s="3">
        <v>14.0</v>
      </c>
      <c r="B11" s="3">
        <v>2013.0</v>
      </c>
      <c r="C11" s="44">
        <v>9.0</v>
      </c>
      <c r="D11" s="3" t="s">
        <v>23</v>
      </c>
    </row>
    <row r="12">
      <c r="A12" s="3">
        <v>15.0</v>
      </c>
      <c r="B12" s="3">
        <v>2015.0</v>
      </c>
      <c r="C12" s="44">
        <v>11.0</v>
      </c>
      <c r="D12" s="3" t="s">
        <v>26</v>
      </c>
    </row>
    <row r="13">
      <c r="A13" s="3">
        <v>16.0</v>
      </c>
      <c r="B13" s="4">
        <v>2017.0</v>
      </c>
      <c r="C13" s="46">
        <v>13.0</v>
      </c>
      <c r="D13" s="6" t="s">
        <v>400</v>
      </c>
    </row>
    <row r="14">
      <c r="A14" s="1">
        <v>17.0</v>
      </c>
      <c r="B14" s="1">
        <v>2019.0</v>
      </c>
      <c r="C14" s="48">
        <v>15.0</v>
      </c>
      <c r="D14" s="8" t="s">
        <v>30</v>
      </c>
    </row>
    <row r="15">
      <c r="A15" s="1">
        <v>18.0</v>
      </c>
      <c r="B15" s="1">
        <v>2021.0</v>
      </c>
      <c r="C15" s="48">
        <v>16.0</v>
      </c>
      <c r="D15" s="9" t="s">
        <v>31</v>
      </c>
    </row>
  </sheetData>
  <hyperlinks>
    <hyperlink r:id="rId1" ref="D13"/>
    <hyperlink r:id="rId2" ref="D14"/>
    <hyperlink r:id="rId3" ref="D15"/>
  </hyperlink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2</v>
      </c>
      <c r="B1" s="50" t="s">
        <v>4</v>
      </c>
      <c r="C1" s="50" t="s">
        <v>5</v>
      </c>
      <c r="D1" s="50" t="s">
        <v>323</v>
      </c>
    </row>
    <row r="2">
      <c r="A2" s="51">
        <v>7.5</v>
      </c>
      <c r="B2" s="53">
        <v>2004.0</v>
      </c>
      <c r="C2" s="56">
        <v>3.0</v>
      </c>
      <c r="D2" s="51" t="s">
        <v>10</v>
      </c>
    </row>
    <row r="3">
      <c r="A3" s="51">
        <v>9.5</v>
      </c>
      <c r="B3" s="53">
        <v>2005.0</v>
      </c>
      <c r="C3" s="56">
        <v>5.0</v>
      </c>
      <c r="D3" s="58" t="s">
        <v>317</v>
      </c>
    </row>
    <row r="4">
      <c r="A4" s="51">
        <v>10.5</v>
      </c>
      <c r="B4" s="53">
        <v>2008.0</v>
      </c>
      <c r="C4" s="56">
        <v>5.0</v>
      </c>
      <c r="D4" s="51" t="s">
        <v>15</v>
      </c>
    </row>
    <row r="5">
      <c r="A5" s="51">
        <v>12.3</v>
      </c>
      <c r="B5" s="53">
        <v>2009.0</v>
      </c>
      <c r="C5" s="56">
        <v>6.0</v>
      </c>
      <c r="D5" s="51" t="s">
        <v>18</v>
      </c>
    </row>
    <row r="6">
      <c r="A6" s="51">
        <v>12.5</v>
      </c>
      <c r="B6" s="53">
        <v>2010.0</v>
      </c>
      <c r="C6" s="56">
        <v>7.0</v>
      </c>
      <c r="D6" s="49" t="s">
        <v>318</v>
      </c>
    </row>
    <row r="7">
      <c r="A7" s="51">
        <v>12.8</v>
      </c>
      <c r="B7" s="53">
        <v>2010.0</v>
      </c>
      <c r="C7" s="56">
        <v>7.0</v>
      </c>
      <c r="D7" s="51" t="s">
        <v>20</v>
      </c>
    </row>
    <row r="8">
      <c r="A8" s="51">
        <v>13.5</v>
      </c>
      <c r="B8" s="53">
        <v>2013.0</v>
      </c>
      <c r="C8" s="56">
        <v>9.0</v>
      </c>
      <c r="D8" s="51" t="s">
        <v>22</v>
      </c>
    </row>
    <row r="9">
      <c r="A9" s="51">
        <v>14.3</v>
      </c>
      <c r="B9" s="53">
        <v>2014.0</v>
      </c>
      <c r="C9" s="56">
        <v>10.0</v>
      </c>
      <c r="D9" s="51" t="s">
        <v>24</v>
      </c>
    </row>
    <row r="10">
      <c r="A10" s="51">
        <v>14.5</v>
      </c>
      <c r="B10" s="53">
        <v>2015.0</v>
      </c>
      <c r="C10" s="56">
        <v>11.0</v>
      </c>
      <c r="D10" s="51" t="s">
        <v>25</v>
      </c>
    </row>
    <row r="11">
      <c r="A11" s="51">
        <v>15.5</v>
      </c>
      <c r="B11" s="54">
        <v>2017.0</v>
      </c>
      <c r="C11" s="56">
        <v>13.0</v>
      </c>
      <c r="D11" s="59" t="s">
        <v>28</v>
      </c>
    </row>
    <row r="12">
      <c r="A12" s="52">
        <v>16.5</v>
      </c>
      <c r="B12" s="55">
        <v>2018.0</v>
      </c>
      <c r="C12" s="57">
        <v>14.0</v>
      </c>
      <c r="D12" s="60" t="s">
        <v>29</v>
      </c>
    </row>
    <row r="13">
      <c r="A13" s="52">
        <v>17.5</v>
      </c>
      <c r="B13" s="55">
        <v>2021.0</v>
      </c>
      <c r="C13" s="57">
        <v>16.0</v>
      </c>
      <c r="D13" s="61" t="s">
        <v>32</v>
      </c>
    </row>
    <row r="14">
      <c r="A14" s="52">
        <v>18.5</v>
      </c>
      <c r="B14" s="53">
        <v>2022.0</v>
      </c>
      <c r="C14" s="56">
        <v>18.0</v>
      </c>
      <c r="D14" s="62" t="s">
        <v>33</v>
      </c>
    </row>
  </sheetData>
  <hyperlinks>
    <hyperlink r:id="rId1" ref="D11"/>
    <hyperlink r:id="rId2" ref="D12"/>
    <hyperlink r:id="rId3" ref="D13"/>
    <hyperlink r:id="rId4" ref="D14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" width="8.5"/>
    <col customWidth="1" min="17" max="26" width="10.0"/>
  </cols>
  <sheetData>
    <row r="1">
      <c r="A1" s="89"/>
      <c r="B1" s="90"/>
      <c r="C1" s="90"/>
      <c r="D1" s="91"/>
      <c r="E1" s="90"/>
      <c r="F1" s="91"/>
      <c r="G1" s="1"/>
      <c r="I1" s="1"/>
      <c r="K1" s="1"/>
      <c r="M1" s="1"/>
      <c r="O1" s="1"/>
      <c r="Q1" s="1"/>
      <c r="S1" s="1"/>
      <c r="U1" s="1"/>
      <c r="W1" s="92"/>
      <c r="X1" s="92"/>
      <c r="Y1" s="92"/>
      <c r="Z1" s="92"/>
      <c r="AA1" s="93"/>
    </row>
    <row r="2">
      <c r="A2" s="94" t="s">
        <v>401</v>
      </c>
      <c r="B2" s="90"/>
      <c r="C2" s="90">
        <v>18.0</v>
      </c>
      <c r="D2" s="90">
        <v>18.0</v>
      </c>
      <c r="E2" s="90">
        <v>17.0</v>
      </c>
      <c r="F2" s="90">
        <v>17.0</v>
      </c>
      <c r="G2" s="1">
        <v>16.0</v>
      </c>
      <c r="H2" s="1">
        <v>16.0</v>
      </c>
      <c r="I2" s="1">
        <v>15.0</v>
      </c>
      <c r="J2" s="1">
        <v>15.0</v>
      </c>
      <c r="K2" s="1">
        <v>14.0</v>
      </c>
      <c r="L2" s="1">
        <v>14.0</v>
      </c>
      <c r="M2" s="1">
        <v>13.0</v>
      </c>
      <c r="N2" s="1">
        <v>13.0</v>
      </c>
      <c r="O2" s="1">
        <v>12.0</v>
      </c>
      <c r="P2" s="1">
        <v>12.0</v>
      </c>
      <c r="Q2" s="1">
        <v>11.0</v>
      </c>
      <c r="R2" s="1">
        <v>11.0</v>
      </c>
      <c r="S2" s="1">
        <v>10.0</v>
      </c>
      <c r="T2" s="1">
        <v>10.0</v>
      </c>
      <c r="U2" s="1">
        <v>9.0</v>
      </c>
      <c r="V2" s="1">
        <v>9.0</v>
      </c>
      <c r="W2" s="92">
        <v>8.0</v>
      </c>
      <c r="X2" s="92">
        <v>8.0</v>
      </c>
      <c r="Y2" s="92">
        <v>7.0</v>
      </c>
      <c r="Z2" s="92">
        <v>7.0</v>
      </c>
      <c r="AA2" s="93"/>
    </row>
    <row r="3">
      <c r="A3" s="95" t="s">
        <v>402</v>
      </c>
      <c r="B3" s="96">
        <v>7.0</v>
      </c>
      <c r="C3" s="97">
        <v>36.0</v>
      </c>
      <c r="D3" s="98">
        <v>0.0024</v>
      </c>
      <c r="E3" s="97">
        <v>17.0</v>
      </c>
      <c r="F3" s="98">
        <v>0.0015</v>
      </c>
      <c r="G3" s="99">
        <v>14.0</v>
      </c>
      <c r="H3" s="100">
        <v>0.001</v>
      </c>
      <c r="I3" s="99">
        <v>17.0</v>
      </c>
      <c r="J3" s="100">
        <v>0.0017</v>
      </c>
      <c r="K3" s="99">
        <v>14.0</v>
      </c>
      <c r="L3" s="100">
        <v>0.0011</v>
      </c>
      <c r="M3" s="99">
        <v>16.0</v>
      </c>
      <c r="N3" s="100">
        <v>0.0011</v>
      </c>
      <c r="O3" s="99">
        <v>19.0</v>
      </c>
      <c r="P3" s="100">
        <v>0.0011</v>
      </c>
      <c r="Q3" s="99">
        <v>11.0</v>
      </c>
      <c r="R3" s="100">
        <v>0.0011</v>
      </c>
      <c r="S3" s="101">
        <v>14.0</v>
      </c>
      <c r="T3" s="102">
        <v>0.001</v>
      </c>
      <c r="U3" s="101">
        <v>25.0</v>
      </c>
      <c r="V3" s="102">
        <v>0.0014</v>
      </c>
      <c r="W3" s="103">
        <v>20.0</v>
      </c>
      <c r="X3" s="104">
        <v>0.001</v>
      </c>
      <c r="Y3" s="101">
        <v>23.0</v>
      </c>
      <c r="Z3" s="102">
        <v>0.0012</v>
      </c>
      <c r="AA3" s="105"/>
    </row>
    <row r="4">
      <c r="A4" s="95" t="s">
        <v>403</v>
      </c>
      <c r="B4" s="106">
        <v>12.0</v>
      </c>
      <c r="C4" s="107">
        <v>2314.0</v>
      </c>
      <c r="D4" s="98">
        <v>0.1529</v>
      </c>
      <c r="E4" s="107">
        <v>1199.0</v>
      </c>
      <c r="F4" s="98">
        <v>0.1053</v>
      </c>
      <c r="G4" s="99">
        <v>998.0</v>
      </c>
      <c r="H4" s="100">
        <v>0.0746</v>
      </c>
      <c r="I4" s="99">
        <v>569.0</v>
      </c>
      <c r="J4" s="100">
        <v>0.056</v>
      </c>
      <c r="K4" s="99">
        <v>761.0</v>
      </c>
      <c r="L4" s="100">
        <v>0.0583</v>
      </c>
      <c r="M4" s="99">
        <v>999.0</v>
      </c>
      <c r="N4" s="100">
        <v>0.0661</v>
      </c>
      <c r="O4" s="99">
        <v>1171.0</v>
      </c>
      <c r="P4" s="100">
        <v>0.0694</v>
      </c>
      <c r="Q4" s="99">
        <v>556.0</v>
      </c>
      <c r="R4" s="100">
        <v>0.0575</v>
      </c>
      <c r="S4" s="101">
        <v>600.0</v>
      </c>
      <c r="T4" s="102">
        <v>0.044</v>
      </c>
      <c r="U4" s="101">
        <v>555.0</v>
      </c>
      <c r="V4" s="102">
        <v>0.0305</v>
      </c>
      <c r="W4" s="103">
        <v>712.0</v>
      </c>
      <c r="X4" s="104">
        <v>0.0369</v>
      </c>
      <c r="Y4" s="101">
        <v>730.0</v>
      </c>
      <c r="Z4" s="102">
        <v>0.0372</v>
      </c>
      <c r="AA4" s="105"/>
    </row>
    <row r="5">
      <c r="A5" s="95" t="s">
        <v>404</v>
      </c>
      <c r="B5" s="106">
        <v>17.0</v>
      </c>
      <c r="C5" s="107">
        <v>5939.0</v>
      </c>
      <c r="D5" s="98">
        <v>0.3924</v>
      </c>
      <c r="E5" s="107">
        <v>4393.0</v>
      </c>
      <c r="F5" s="98">
        <v>0.3859</v>
      </c>
      <c r="G5" s="108">
        <v>5038.0</v>
      </c>
      <c r="H5" s="100">
        <v>0.3768</v>
      </c>
      <c r="I5" s="99">
        <v>3486.0</v>
      </c>
      <c r="J5" s="100">
        <v>0.343</v>
      </c>
      <c r="K5" s="99">
        <v>4560.0</v>
      </c>
      <c r="L5" s="100">
        <v>0.3492</v>
      </c>
      <c r="M5" s="99">
        <v>5489.0</v>
      </c>
      <c r="N5" s="100">
        <v>0.3631</v>
      </c>
      <c r="O5" s="99">
        <v>6656.0</v>
      </c>
      <c r="P5" s="100">
        <v>0.3946</v>
      </c>
      <c r="Q5" s="99">
        <v>3425.0</v>
      </c>
      <c r="R5" s="100">
        <v>0.3544</v>
      </c>
      <c r="S5" s="101">
        <v>4430.0</v>
      </c>
      <c r="T5" s="102">
        <v>0.3249</v>
      </c>
      <c r="U5" s="101">
        <v>5843.0</v>
      </c>
      <c r="V5" s="102">
        <v>0.3209</v>
      </c>
      <c r="W5" s="103">
        <v>6525.0</v>
      </c>
      <c r="X5" s="104">
        <v>0.3386</v>
      </c>
      <c r="Y5" s="101">
        <v>6655.0</v>
      </c>
      <c r="Z5" s="102">
        <v>0.3391</v>
      </c>
      <c r="AA5" s="105"/>
    </row>
    <row r="6">
      <c r="A6" s="95" t="s">
        <v>405</v>
      </c>
      <c r="B6" s="106">
        <v>22.0</v>
      </c>
      <c r="C6" s="107">
        <v>3343.0</v>
      </c>
      <c r="D6" s="98">
        <v>0.2209</v>
      </c>
      <c r="E6" s="107">
        <v>2718.0</v>
      </c>
      <c r="F6" s="98">
        <v>0.2388</v>
      </c>
      <c r="G6" s="108">
        <v>3546.0</v>
      </c>
      <c r="H6" s="100">
        <v>0.2652</v>
      </c>
      <c r="I6" s="99">
        <v>2860.0</v>
      </c>
      <c r="J6" s="100">
        <v>0.2814</v>
      </c>
      <c r="K6" s="99">
        <v>3850.0</v>
      </c>
      <c r="L6" s="100">
        <v>0.2948</v>
      </c>
      <c r="M6" s="99">
        <v>4399.0</v>
      </c>
      <c r="N6" s="100">
        <v>0.291</v>
      </c>
      <c r="O6" s="99">
        <v>4663.0</v>
      </c>
      <c r="P6" s="100">
        <v>0.2764</v>
      </c>
      <c r="Q6" s="99">
        <v>2763.0</v>
      </c>
      <c r="R6" s="100">
        <v>0.2859</v>
      </c>
      <c r="S6" s="101">
        <v>4372.0</v>
      </c>
      <c r="T6" s="102">
        <v>0.3206</v>
      </c>
      <c r="U6" s="101">
        <v>6562.0</v>
      </c>
      <c r="V6" s="102">
        <v>0.3604</v>
      </c>
      <c r="W6" s="103">
        <v>7072.0</v>
      </c>
      <c r="X6" s="104">
        <v>0.3669</v>
      </c>
      <c r="Y6" s="101">
        <v>7649.0</v>
      </c>
      <c r="Z6" s="102">
        <v>0.3898</v>
      </c>
      <c r="AA6" s="105"/>
    </row>
    <row r="7">
      <c r="A7" s="95" t="s">
        <v>406</v>
      </c>
      <c r="B7" s="106">
        <v>27.0</v>
      </c>
      <c r="C7" s="107">
        <v>1711.0</v>
      </c>
      <c r="D7" s="98">
        <v>0.113</v>
      </c>
      <c r="E7" s="107">
        <v>1509.0</v>
      </c>
      <c r="F7" s="98">
        <v>0.1326</v>
      </c>
      <c r="G7" s="108">
        <v>1946.0</v>
      </c>
      <c r="H7" s="100">
        <v>0.1455</v>
      </c>
      <c r="I7" s="99">
        <v>1605.0</v>
      </c>
      <c r="J7" s="100">
        <v>0.1579</v>
      </c>
      <c r="K7" s="99">
        <v>2024.0</v>
      </c>
      <c r="L7" s="100">
        <v>0.155</v>
      </c>
      <c r="M7" s="99">
        <v>2256.0</v>
      </c>
      <c r="N7" s="100">
        <v>0.1492</v>
      </c>
      <c r="O7" s="99">
        <v>2485.0</v>
      </c>
      <c r="P7" s="100">
        <v>0.1473</v>
      </c>
      <c r="Q7" s="99">
        <v>1657.0</v>
      </c>
      <c r="R7" s="100">
        <v>0.1715</v>
      </c>
      <c r="S7" s="101">
        <v>2570.0</v>
      </c>
      <c r="T7" s="102">
        <v>0.1885</v>
      </c>
      <c r="U7" s="101">
        <v>3406.0</v>
      </c>
      <c r="V7" s="102">
        <v>0.187</v>
      </c>
      <c r="W7" s="103">
        <v>3314.0</v>
      </c>
      <c r="X7" s="104">
        <v>0.172</v>
      </c>
      <c r="Y7" s="101">
        <v>3138.0</v>
      </c>
      <c r="Z7" s="102">
        <v>0.1599</v>
      </c>
      <c r="AA7" s="105"/>
    </row>
    <row r="8">
      <c r="A8" s="95" t="s">
        <v>407</v>
      </c>
      <c r="B8" s="96">
        <v>32.0</v>
      </c>
      <c r="C8" s="97">
        <v>912.0</v>
      </c>
      <c r="D8" s="98">
        <v>0.0603</v>
      </c>
      <c r="E8" s="97">
        <v>821.0</v>
      </c>
      <c r="F8" s="98">
        <v>0.0721</v>
      </c>
      <c r="G8" s="108">
        <v>1013.0</v>
      </c>
      <c r="H8" s="100">
        <v>0.0758</v>
      </c>
      <c r="I8" s="99">
        <v>908.0</v>
      </c>
      <c r="J8" s="100">
        <v>0.0893</v>
      </c>
      <c r="K8" s="99">
        <v>1077.0</v>
      </c>
      <c r="L8" s="100">
        <v>0.0825</v>
      </c>
      <c r="M8" s="99">
        <v>1173.0</v>
      </c>
      <c r="N8" s="100">
        <v>0.0776</v>
      </c>
      <c r="O8" s="99">
        <v>1164.0</v>
      </c>
      <c r="P8" s="100">
        <v>0.069</v>
      </c>
      <c r="Q8" s="99">
        <v>778.0</v>
      </c>
      <c r="R8" s="100">
        <v>0.0805</v>
      </c>
      <c r="S8" s="101">
        <v>1052.0</v>
      </c>
      <c r="T8" s="102">
        <v>0.0771</v>
      </c>
      <c r="U8" s="101">
        <v>1219.0</v>
      </c>
      <c r="V8" s="102">
        <v>0.0669</v>
      </c>
      <c r="W8" s="103">
        <v>1132.0</v>
      </c>
      <c r="X8" s="104">
        <v>0.0587</v>
      </c>
      <c r="Y8" s="101">
        <v>1028.0</v>
      </c>
      <c r="Z8" s="102">
        <v>0.0524</v>
      </c>
      <c r="AA8" s="105"/>
    </row>
    <row r="9">
      <c r="A9" s="95" t="s">
        <v>408</v>
      </c>
      <c r="B9" s="96">
        <v>37.0</v>
      </c>
      <c r="C9" s="97">
        <v>469.0</v>
      </c>
      <c r="D9" s="98">
        <v>0.031</v>
      </c>
      <c r="E9" s="97">
        <v>389.0</v>
      </c>
      <c r="F9" s="98">
        <v>0.0342</v>
      </c>
      <c r="G9" s="99">
        <v>468.0</v>
      </c>
      <c r="H9" s="100">
        <v>0.035</v>
      </c>
      <c r="I9" s="99">
        <v>422.0</v>
      </c>
      <c r="J9" s="100">
        <v>0.0415</v>
      </c>
      <c r="K9" s="99">
        <v>480.0</v>
      </c>
      <c r="L9" s="100">
        <v>0.0368</v>
      </c>
      <c r="M9" s="99">
        <v>480.0</v>
      </c>
      <c r="N9" s="100">
        <v>0.0318</v>
      </c>
      <c r="O9" s="99">
        <v>464.0</v>
      </c>
      <c r="P9" s="100">
        <v>0.0275</v>
      </c>
      <c r="Q9" s="99">
        <v>310.0</v>
      </c>
      <c r="R9" s="100">
        <v>0.0321</v>
      </c>
      <c r="S9" s="101">
        <v>410.0</v>
      </c>
      <c r="T9" s="102">
        <v>0.0301</v>
      </c>
      <c r="U9" s="101">
        <v>437.0</v>
      </c>
      <c r="V9" s="102">
        <v>0.024</v>
      </c>
      <c r="W9" s="103">
        <v>380.0</v>
      </c>
      <c r="X9" s="104">
        <v>0.0197</v>
      </c>
      <c r="Y9" s="101">
        <v>316.0</v>
      </c>
      <c r="Z9" s="102">
        <v>0.0161</v>
      </c>
      <c r="AA9" s="105"/>
    </row>
    <row r="10">
      <c r="A10" s="95" t="s">
        <v>409</v>
      </c>
      <c r="B10" s="96">
        <v>42.0</v>
      </c>
      <c r="C10" s="97">
        <v>223.0</v>
      </c>
      <c r="D10" s="98">
        <v>0.0147</v>
      </c>
      <c r="E10" s="97">
        <v>191.0</v>
      </c>
      <c r="F10" s="98">
        <v>0.0168</v>
      </c>
      <c r="G10" s="99">
        <v>219.0</v>
      </c>
      <c r="H10" s="100">
        <v>0.0164</v>
      </c>
      <c r="I10" s="99">
        <v>189.0</v>
      </c>
      <c r="J10" s="100">
        <v>0.0186</v>
      </c>
      <c r="K10" s="99">
        <v>188.0</v>
      </c>
      <c r="L10" s="100">
        <v>0.0144</v>
      </c>
      <c r="M10" s="99">
        <v>197.0</v>
      </c>
      <c r="N10" s="100">
        <v>0.013</v>
      </c>
      <c r="O10" s="99">
        <v>149.0</v>
      </c>
      <c r="P10" s="100">
        <v>0.0088</v>
      </c>
      <c r="Q10" s="99">
        <v>109.0</v>
      </c>
      <c r="R10" s="100">
        <v>0.0113</v>
      </c>
      <c r="S10" s="101">
        <v>163.0</v>
      </c>
      <c r="T10" s="102">
        <v>0.012</v>
      </c>
      <c r="U10" s="101">
        <v>129.0</v>
      </c>
      <c r="V10" s="102">
        <v>0.0071</v>
      </c>
      <c r="W10" s="103">
        <v>89.0</v>
      </c>
      <c r="X10" s="104">
        <v>0.0046</v>
      </c>
      <c r="Y10" s="101">
        <v>55.0</v>
      </c>
      <c r="Z10" s="102">
        <v>0.0028</v>
      </c>
      <c r="AA10" s="105"/>
    </row>
    <row r="11">
      <c r="A11" s="95" t="s">
        <v>410</v>
      </c>
      <c r="B11" s="96">
        <v>47.0</v>
      </c>
      <c r="C11" s="97">
        <v>100.0</v>
      </c>
      <c r="D11" s="98">
        <v>0.0066</v>
      </c>
      <c r="E11" s="97">
        <v>87.0</v>
      </c>
      <c r="F11" s="98">
        <v>0.0076</v>
      </c>
      <c r="G11" s="99">
        <v>82.0</v>
      </c>
      <c r="H11" s="100">
        <v>0.0061</v>
      </c>
      <c r="I11" s="99">
        <v>71.0</v>
      </c>
      <c r="J11" s="100">
        <v>0.007</v>
      </c>
      <c r="K11" s="99">
        <v>67.0</v>
      </c>
      <c r="L11" s="100">
        <v>0.0051</v>
      </c>
      <c r="M11" s="99">
        <v>51.0</v>
      </c>
      <c r="N11" s="100">
        <v>0.0034</v>
      </c>
      <c r="O11" s="99">
        <v>47.0</v>
      </c>
      <c r="P11" s="100">
        <v>0.0028</v>
      </c>
      <c r="Q11" s="99">
        <v>29.0</v>
      </c>
      <c r="R11" s="100">
        <v>0.003</v>
      </c>
      <c r="S11" s="101">
        <v>10.0</v>
      </c>
      <c r="T11" s="102">
        <v>7.0E-4</v>
      </c>
      <c r="U11" s="101">
        <v>14.0</v>
      </c>
      <c r="V11" s="102">
        <v>8.0E-4</v>
      </c>
      <c r="W11" s="103">
        <v>2.0</v>
      </c>
      <c r="X11" s="104">
        <v>1.0E-4</v>
      </c>
      <c r="Y11" s="101">
        <v>5.0</v>
      </c>
      <c r="Z11" s="102">
        <v>3.0E-4</v>
      </c>
      <c r="AA11" s="105"/>
    </row>
    <row r="12">
      <c r="A12" s="95" t="s">
        <v>411</v>
      </c>
      <c r="B12" s="96">
        <v>52.0</v>
      </c>
      <c r="C12" s="97">
        <v>88.0</v>
      </c>
      <c r="D12" s="98">
        <v>0.0058</v>
      </c>
      <c r="E12" s="97">
        <v>60.0</v>
      </c>
      <c r="F12" s="98">
        <v>0.0053</v>
      </c>
      <c r="G12" s="99">
        <v>46.0</v>
      </c>
      <c r="H12" s="100">
        <v>0.0034</v>
      </c>
      <c r="I12" s="99">
        <v>36.0</v>
      </c>
      <c r="J12" s="100">
        <v>0.0035</v>
      </c>
      <c r="K12" s="99">
        <v>39.0</v>
      </c>
      <c r="L12" s="100">
        <v>0.003</v>
      </c>
      <c r="M12" s="99">
        <v>58.0</v>
      </c>
      <c r="N12" s="100">
        <v>0.0038</v>
      </c>
      <c r="O12" s="99">
        <v>51.0</v>
      </c>
      <c r="P12" s="100">
        <v>0.003</v>
      </c>
      <c r="Q12" s="99">
        <v>26.0</v>
      </c>
      <c r="R12" s="100">
        <v>0.0027</v>
      </c>
      <c r="S12" s="101">
        <v>15.0</v>
      </c>
      <c r="T12" s="102">
        <v>0.0011</v>
      </c>
      <c r="U12" s="101">
        <v>20.0</v>
      </c>
      <c r="V12" s="102">
        <v>0.0011</v>
      </c>
      <c r="W12" s="109">
        <v>27.0</v>
      </c>
      <c r="X12" s="110">
        <v>0.0014</v>
      </c>
      <c r="Y12" s="101">
        <v>25.0</v>
      </c>
      <c r="Z12" s="102">
        <v>0.0013</v>
      </c>
      <c r="AA12" s="105"/>
    </row>
    <row r="13">
      <c r="A13" s="1" t="s">
        <v>412</v>
      </c>
      <c r="C13" s="17">
        <f>sum(C3:C12)</f>
        <v>15135</v>
      </c>
      <c r="E13" s="17">
        <f>sum(E3:E12)</f>
        <v>11384</v>
      </c>
      <c r="G13" s="17">
        <f>sum(G3:G12)</f>
        <v>13370</v>
      </c>
      <c r="I13" s="17">
        <f>sum(I3:I12)</f>
        <v>10163</v>
      </c>
      <c r="K13" s="17">
        <f>sum(K3:K12)</f>
        <v>13060</v>
      </c>
      <c r="M13" s="17">
        <f>sum(M3:M12)</f>
        <v>15118</v>
      </c>
      <c r="O13" s="17">
        <f>sum(O3:O12)</f>
        <v>16869</v>
      </c>
      <c r="Q13" s="17">
        <f>sum(Q3:Q12)</f>
        <v>9664</v>
      </c>
      <c r="S13" s="17">
        <f>sum(S3:S12)</f>
        <v>13636</v>
      </c>
      <c r="U13" s="17">
        <f>sum(U3:U12)</f>
        <v>18210</v>
      </c>
      <c r="W13" s="17">
        <f>sum(W3:W12)</f>
        <v>19273</v>
      </c>
      <c r="Y13" s="17">
        <f>sum(Y3:Y12)</f>
        <v>19624</v>
      </c>
    </row>
    <row r="14">
      <c r="A14" s="1" t="s">
        <v>413</v>
      </c>
      <c r="C14" s="17">
        <f t="shared" ref="C14:Y14" si="1">C26</f>
        <v>19.59378923</v>
      </c>
      <c r="D14" s="17" t="str">
        <f t="shared" si="1"/>
        <v/>
      </c>
      <c r="E14" s="17">
        <f t="shared" si="1"/>
        <v>20.31184118</v>
      </c>
      <c r="F14" s="17" t="str">
        <f t="shared" si="1"/>
        <v/>
      </c>
      <c r="G14" s="17">
        <f t="shared" si="1"/>
        <v>20.65325355</v>
      </c>
      <c r="H14" s="17" t="str">
        <f t="shared" si="1"/>
        <v/>
      </c>
      <c r="I14" s="17">
        <f t="shared" si="1"/>
        <v>21.1224048</v>
      </c>
      <c r="J14" s="17" t="str">
        <f t="shared" si="1"/>
        <v/>
      </c>
      <c r="K14" s="17">
        <f t="shared" si="1"/>
        <v>20.95214395</v>
      </c>
      <c r="L14" s="17" t="str">
        <f t="shared" si="1"/>
        <v/>
      </c>
      <c r="M14" s="17">
        <f t="shared" si="1"/>
        <v>20.79150681</v>
      </c>
      <c r="N14" s="17" t="str">
        <f t="shared" si="1"/>
        <v/>
      </c>
      <c r="O14" s="17">
        <f t="shared" si="1"/>
        <v>20.4745391</v>
      </c>
      <c r="P14" s="17" t="str">
        <f t="shared" si="1"/>
        <v/>
      </c>
      <c r="Q14" s="17">
        <f t="shared" si="1"/>
        <v>20.97350993</v>
      </c>
      <c r="R14" s="17" t="str">
        <f t="shared" si="1"/>
        <v/>
      </c>
      <c r="S14" s="17">
        <f t="shared" si="1"/>
        <v>21.26298035</v>
      </c>
      <c r="T14" s="17" t="str">
        <f t="shared" si="1"/>
        <v/>
      </c>
      <c r="U14" s="17">
        <f t="shared" si="1"/>
        <v>21.34080176</v>
      </c>
      <c r="V14" s="17" t="str">
        <f t="shared" si="1"/>
        <v/>
      </c>
      <c r="W14" s="17">
        <f t="shared" si="1"/>
        <v>21.07253671</v>
      </c>
      <c r="X14" s="17" t="str">
        <f t="shared" si="1"/>
        <v/>
      </c>
      <c r="Y14" s="17">
        <f t="shared" si="1"/>
        <v>20.98455972</v>
      </c>
    </row>
    <row r="15">
      <c r="C15" s="17">
        <f t="shared" ref="C15:C20" si="2">$B3*C3</f>
        <v>252</v>
      </c>
      <c r="E15" s="17">
        <f t="shared" ref="E15:E20" si="3">$B3*E3</f>
        <v>119</v>
      </c>
      <c r="G15" s="17">
        <f t="shared" ref="G15:G20" si="4">$B3*G3</f>
        <v>98</v>
      </c>
      <c r="I15" s="17">
        <f t="shared" ref="I15:I20" si="5">$B3*I3</f>
        <v>119</v>
      </c>
      <c r="K15" s="17">
        <f t="shared" ref="K15:K20" si="6">$B3*K3</f>
        <v>98</v>
      </c>
      <c r="M15" s="17">
        <f t="shared" ref="M15:M20" si="7">$B3*M3</f>
        <v>112</v>
      </c>
      <c r="O15" s="17">
        <f t="shared" ref="O15:O20" si="8">$B3*O3</f>
        <v>133</v>
      </c>
      <c r="Q15" s="17">
        <f t="shared" ref="Q15:Q20" si="9">$B3*Q3</f>
        <v>77</v>
      </c>
      <c r="S15" s="17">
        <f t="shared" ref="S15:S20" si="10">$B3*S3</f>
        <v>98</v>
      </c>
      <c r="U15" s="17">
        <f t="shared" ref="U15:U20" si="11">$B3*U3</f>
        <v>175</v>
      </c>
      <c r="W15" s="17">
        <f t="shared" ref="W15:W20" si="12">$B3*W3</f>
        <v>140</v>
      </c>
      <c r="Y15" s="17">
        <f t="shared" ref="Y15:Y20" si="13">$B3*Y3</f>
        <v>161</v>
      </c>
    </row>
    <row r="16">
      <c r="C16" s="17">
        <f t="shared" si="2"/>
        <v>27768</v>
      </c>
      <c r="E16" s="17">
        <f t="shared" si="3"/>
        <v>14388</v>
      </c>
      <c r="G16" s="17">
        <f t="shared" si="4"/>
        <v>11976</v>
      </c>
      <c r="I16" s="17">
        <f t="shared" si="5"/>
        <v>6828</v>
      </c>
      <c r="K16" s="17">
        <f t="shared" si="6"/>
        <v>9132</v>
      </c>
      <c r="M16" s="17">
        <f t="shared" si="7"/>
        <v>11988</v>
      </c>
      <c r="O16" s="17">
        <f t="shared" si="8"/>
        <v>14052</v>
      </c>
      <c r="Q16" s="17">
        <f t="shared" si="9"/>
        <v>6672</v>
      </c>
      <c r="S16" s="17">
        <f t="shared" si="10"/>
        <v>7200</v>
      </c>
      <c r="U16" s="17">
        <f t="shared" si="11"/>
        <v>6660</v>
      </c>
      <c r="W16" s="17">
        <f t="shared" si="12"/>
        <v>8544</v>
      </c>
      <c r="Y16" s="17">
        <f t="shared" si="13"/>
        <v>8760</v>
      </c>
    </row>
    <row r="17">
      <c r="C17" s="17">
        <f t="shared" si="2"/>
        <v>100963</v>
      </c>
      <c r="E17" s="17">
        <f t="shared" si="3"/>
        <v>74681</v>
      </c>
      <c r="G17" s="17">
        <f t="shared" si="4"/>
        <v>85646</v>
      </c>
      <c r="I17" s="17">
        <f t="shared" si="5"/>
        <v>59262</v>
      </c>
      <c r="K17" s="17">
        <f t="shared" si="6"/>
        <v>77520</v>
      </c>
      <c r="M17" s="17">
        <f t="shared" si="7"/>
        <v>93313</v>
      </c>
      <c r="O17" s="17">
        <f t="shared" si="8"/>
        <v>113152</v>
      </c>
      <c r="Q17" s="17">
        <f t="shared" si="9"/>
        <v>58225</v>
      </c>
      <c r="S17" s="17">
        <f t="shared" si="10"/>
        <v>75310</v>
      </c>
      <c r="U17" s="17">
        <f t="shared" si="11"/>
        <v>99331</v>
      </c>
      <c r="W17" s="17">
        <f t="shared" si="12"/>
        <v>110925</v>
      </c>
      <c r="Y17" s="17">
        <f t="shared" si="13"/>
        <v>113135</v>
      </c>
    </row>
    <row r="18">
      <c r="C18" s="17">
        <f t="shared" si="2"/>
        <v>73546</v>
      </c>
      <c r="E18" s="17">
        <f t="shared" si="3"/>
        <v>59796</v>
      </c>
      <c r="G18" s="17">
        <f t="shared" si="4"/>
        <v>78012</v>
      </c>
      <c r="I18" s="17">
        <f t="shared" si="5"/>
        <v>62920</v>
      </c>
      <c r="K18" s="17">
        <f t="shared" si="6"/>
        <v>84700</v>
      </c>
      <c r="M18" s="17">
        <f t="shared" si="7"/>
        <v>96778</v>
      </c>
      <c r="O18" s="17">
        <f t="shared" si="8"/>
        <v>102586</v>
      </c>
      <c r="Q18" s="17">
        <f t="shared" si="9"/>
        <v>60786</v>
      </c>
      <c r="S18" s="17">
        <f t="shared" si="10"/>
        <v>96184</v>
      </c>
      <c r="U18" s="17">
        <f t="shared" si="11"/>
        <v>144364</v>
      </c>
      <c r="W18" s="17">
        <f t="shared" si="12"/>
        <v>155584</v>
      </c>
      <c r="Y18" s="17">
        <f t="shared" si="13"/>
        <v>168278</v>
      </c>
    </row>
    <row r="19">
      <c r="C19" s="17">
        <f t="shared" si="2"/>
        <v>46197</v>
      </c>
      <c r="E19" s="17">
        <f t="shared" si="3"/>
        <v>40743</v>
      </c>
      <c r="G19" s="17">
        <f t="shared" si="4"/>
        <v>52542</v>
      </c>
      <c r="I19" s="17">
        <f t="shared" si="5"/>
        <v>43335</v>
      </c>
      <c r="K19" s="17">
        <f t="shared" si="6"/>
        <v>54648</v>
      </c>
      <c r="M19" s="17">
        <f t="shared" si="7"/>
        <v>60912</v>
      </c>
      <c r="O19" s="17">
        <f t="shared" si="8"/>
        <v>67095</v>
      </c>
      <c r="Q19" s="17">
        <f t="shared" si="9"/>
        <v>44739</v>
      </c>
      <c r="S19" s="17">
        <f t="shared" si="10"/>
        <v>69390</v>
      </c>
      <c r="U19" s="17">
        <f t="shared" si="11"/>
        <v>91962</v>
      </c>
      <c r="W19" s="17">
        <f t="shared" si="12"/>
        <v>89478</v>
      </c>
      <c r="Y19" s="17">
        <f t="shared" si="13"/>
        <v>84726</v>
      </c>
    </row>
    <row r="20">
      <c r="C20" s="17">
        <f t="shared" si="2"/>
        <v>29184</v>
      </c>
      <c r="E20" s="17">
        <f t="shared" si="3"/>
        <v>26272</v>
      </c>
      <c r="G20" s="17">
        <f t="shared" si="4"/>
        <v>32416</v>
      </c>
      <c r="I20" s="17">
        <f t="shared" si="5"/>
        <v>29056</v>
      </c>
      <c r="K20" s="17">
        <f t="shared" si="6"/>
        <v>34464</v>
      </c>
      <c r="M20" s="17">
        <f t="shared" si="7"/>
        <v>37536</v>
      </c>
      <c r="O20" s="17">
        <f t="shared" si="8"/>
        <v>37248</v>
      </c>
      <c r="Q20" s="17">
        <f t="shared" si="9"/>
        <v>24896</v>
      </c>
      <c r="S20" s="17">
        <f t="shared" si="10"/>
        <v>33664</v>
      </c>
      <c r="U20" s="17">
        <f t="shared" si="11"/>
        <v>39008</v>
      </c>
      <c r="W20" s="17">
        <f t="shared" si="12"/>
        <v>36224</v>
      </c>
      <c r="Y20" s="17">
        <f t="shared" si="13"/>
        <v>32896</v>
      </c>
    </row>
    <row r="21">
      <c r="C21" s="17">
        <f t="shared" ref="C21:C23" si="14">$B10*C10</f>
        <v>9366</v>
      </c>
      <c r="E21" s="17">
        <f t="shared" ref="E21:E23" si="15">$B10*E10</f>
        <v>8022</v>
      </c>
      <c r="G21" s="17">
        <f t="shared" ref="G21:G23" si="16">$B10*G10</f>
        <v>9198</v>
      </c>
      <c r="I21" s="17">
        <f t="shared" ref="I21:I23" si="17">$B10*I10</f>
        <v>7938</v>
      </c>
      <c r="K21" s="17">
        <f t="shared" ref="K21:K23" si="18">$B10*K10</f>
        <v>7896</v>
      </c>
      <c r="M21" s="17">
        <f t="shared" ref="M21:M23" si="19">$B10*M10</f>
        <v>8274</v>
      </c>
      <c r="O21" s="17">
        <f t="shared" ref="O21:O23" si="20">$B10*O10</f>
        <v>6258</v>
      </c>
      <c r="Q21" s="17">
        <f t="shared" ref="Q21:Q23" si="21">$B10*Q10</f>
        <v>4578</v>
      </c>
      <c r="S21" s="17">
        <f t="shared" ref="S21:S23" si="22">$B10*S10</f>
        <v>6846</v>
      </c>
      <c r="U21" s="17">
        <f t="shared" ref="U21:U23" si="23">$B10*U10</f>
        <v>5418</v>
      </c>
      <c r="W21" s="17">
        <f t="shared" ref="W21:W23" si="24">$B10*W10</f>
        <v>3738</v>
      </c>
      <c r="Y21" s="17">
        <f t="shared" ref="Y21:Y23" si="25">$B10*Y10</f>
        <v>2310</v>
      </c>
    </row>
    <row r="22">
      <c r="C22" s="17">
        <f t="shared" si="14"/>
        <v>4700</v>
      </c>
      <c r="E22" s="17">
        <f t="shared" si="15"/>
        <v>4089</v>
      </c>
      <c r="G22" s="17">
        <f t="shared" si="16"/>
        <v>3854</v>
      </c>
      <c r="I22" s="17">
        <f t="shared" si="17"/>
        <v>3337</v>
      </c>
      <c r="K22" s="17">
        <f t="shared" si="18"/>
        <v>3149</v>
      </c>
      <c r="M22" s="17">
        <f t="shared" si="19"/>
        <v>2397</v>
      </c>
      <c r="O22" s="17">
        <f t="shared" si="20"/>
        <v>2209</v>
      </c>
      <c r="Q22" s="17">
        <f t="shared" si="21"/>
        <v>1363</v>
      </c>
      <c r="S22" s="17">
        <f t="shared" si="22"/>
        <v>470</v>
      </c>
      <c r="U22" s="17">
        <f t="shared" si="23"/>
        <v>658</v>
      </c>
      <c r="W22" s="17">
        <f t="shared" si="24"/>
        <v>94</v>
      </c>
      <c r="Y22" s="17">
        <f t="shared" si="25"/>
        <v>235</v>
      </c>
    </row>
    <row r="23">
      <c r="C23" s="17">
        <f t="shared" si="14"/>
        <v>4576</v>
      </c>
      <c r="E23" s="17">
        <f t="shared" si="15"/>
        <v>3120</v>
      </c>
      <c r="G23" s="17">
        <f t="shared" si="16"/>
        <v>2392</v>
      </c>
      <c r="I23" s="17">
        <f t="shared" si="17"/>
        <v>1872</v>
      </c>
      <c r="K23" s="17">
        <f t="shared" si="18"/>
        <v>2028</v>
      </c>
      <c r="M23" s="17">
        <f t="shared" si="19"/>
        <v>3016</v>
      </c>
      <c r="O23" s="17">
        <f t="shared" si="20"/>
        <v>2652</v>
      </c>
      <c r="Q23" s="17">
        <f t="shared" si="21"/>
        <v>1352</v>
      </c>
      <c r="S23" s="17">
        <f t="shared" si="22"/>
        <v>780</v>
      </c>
      <c r="U23" s="17">
        <f t="shared" si="23"/>
        <v>1040</v>
      </c>
      <c r="W23" s="17">
        <f t="shared" si="24"/>
        <v>1404</v>
      </c>
      <c r="Y23" s="17">
        <f t="shared" si="25"/>
        <v>1300</v>
      </c>
    </row>
    <row r="25">
      <c r="A25" s="1" t="s">
        <v>414</v>
      </c>
      <c r="C25" s="17">
        <f>SUM(C15:C23)</f>
        <v>296552</v>
      </c>
      <c r="E25" s="17">
        <f>SUM(E15:E23)</f>
        <v>231230</v>
      </c>
      <c r="G25" s="17">
        <f>SUM(G15:G23)</f>
        <v>276134</v>
      </c>
      <c r="I25" s="17">
        <f>SUM(I15:I23)</f>
        <v>214667</v>
      </c>
      <c r="K25" s="17">
        <f>SUM(K15:K23)</f>
        <v>273635</v>
      </c>
      <c r="M25" s="17">
        <f>SUM(M15:M23)</f>
        <v>314326</v>
      </c>
      <c r="O25" s="17">
        <f>SUM(O15:O23)</f>
        <v>345385</v>
      </c>
      <c r="Q25" s="17">
        <f>SUM(Q15:Q23)</f>
        <v>202688</v>
      </c>
      <c r="S25" s="17">
        <f>SUM(S15:S23)</f>
        <v>289942</v>
      </c>
      <c r="U25" s="17">
        <f>SUM(U15:U23)</f>
        <v>388616</v>
      </c>
      <c r="W25" s="17">
        <f>SUM(W15:W23)</f>
        <v>406131</v>
      </c>
      <c r="Y25" s="17">
        <f>SUM(Y15:Y23)</f>
        <v>411801</v>
      </c>
    </row>
    <row r="26">
      <c r="A26" s="1" t="s">
        <v>413</v>
      </c>
      <c r="C26" s="17">
        <f>C25/C13</f>
        <v>19.59378923</v>
      </c>
      <c r="E26" s="17">
        <f>E25/E13</f>
        <v>20.31184118</v>
      </c>
      <c r="G26" s="17">
        <f>G25/G13</f>
        <v>20.65325355</v>
      </c>
      <c r="I26" s="17">
        <f>I25/I13</f>
        <v>21.1224048</v>
      </c>
      <c r="K26" s="17">
        <f>K25/K13</f>
        <v>20.95214395</v>
      </c>
      <c r="M26" s="17">
        <f>M25/M13</f>
        <v>20.79150681</v>
      </c>
      <c r="O26" s="17">
        <f>O25/O13</f>
        <v>20.4745391</v>
      </c>
      <c r="Q26" s="17">
        <f>Q25/Q13</f>
        <v>20.97350993</v>
      </c>
      <c r="S26" s="17">
        <f>S25/S13</f>
        <v>21.26298035</v>
      </c>
      <c r="U26" s="17">
        <f>U25/U13</f>
        <v>21.34080176</v>
      </c>
      <c r="W26" s="17">
        <f>W25/W13</f>
        <v>21.07253671</v>
      </c>
      <c r="Y26" s="17">
        <f>Y25/Y13</f>
        <v>20.98455972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2" width="8.75"/>
    <col customWidth="1" min="23" max="23" width="8.38"/>
  </cols>
  <sheetData>
    <row r="1">
      <c r="A1" s="95" t="s">
        <v>415</v>
      </c>
      <c r="B1" s="107">
        <v>11676.0</v>
      </c>
      <c r="C1" s="98">
        <v>0.7473</v>
      </c>
      <c r="D1" s="107">
        <v>9289.0</v>
      </c>
      <c r="E1" s="98">
        <v>0.8089</v>
      </c>
      <c r="F1" s="108">
        <v>11268.0</v>
      </c>
      <c r="G1" s="100">
        <v>0.8399</v>
      </c>
      <c r="H1" s="99">
        <v>11442.0</v>
      </c>
      <c r="I1" s="100">
        <v>0.8569</v>
      </c>
      <c r="J1" s="99">
        <v>13557.0</v>
      </c>
      <c r="K1" s="100">
        <v>0.8661</v>
      </c>
      <c r="L1" s="99">
        <v>15320.0</v>
      </c>
      <c r="M1" s="100">
        <v>0.8836</v>
      </c>
      <c r="N1" s="99">
        <v>8834.0</v>
      </c>
      <c r="O1" s="100">
        <v>0.8878</v>
      </c>
      <c r="P1" s="101" t="s">
        <v>416</v>
      </c>
      <c r="Q1" s="102">
        <v>0.8898</v>
      </c>
      <c r="R1" s="101" t="s">
        <v>417</v>
      </c>
      <c r="S1" s="102">
        <v>0.8987</v>
      </c>
      <c r="T1" s="103" t="s">
        <v>418</v>
      </c>
      <c r="U1" s="104">
        <v>0.9094</v>
      </c>
      <c r="V1" s="101" t="s">
        <v>419</v>
      </c>
      <c r="W1" s="102">
        <v>0.9066</v>
      </c>
      <c r="X1" s="93"/>
    </row>
    <row r="2">
      <c r="A2" s="95" t="s">
        <v>420</v>
      </c>
      <c r="B2" s="107">
        <v>3392.0</v>
      </c>
      <c r="C2" s="98">
        <v>0.2171</v>
      </c>
      <c r="D2" s="107">
        <v>2194.0</v>
      </c>
      <c r="E2" s="98">
        <v>0.1911</v>
      </c>
      <c r="F2" s="108">
        <v>2148.0</v>
      </c>
      <c r="G2" s="100">
        <v>0.1601</v>
      </c>
      <c r="H2" s="99">
        <v>1911.0</v>
      </c>
      <c r="I2" s="100">
        <v>0.1431</v>
      </c>
      <c r="J2" s="99">
        <v>2096.0</v>
      </c>
      <c r="K2" s="100">
        <v>0.1339</v>
      </c>
      <c r="L2" s="99">
        <v>2018.0</v>
      </c>
      <c r="M2" s="100">
        <v>0.1164</v>
      </c>
      <c r="N2" s="99">
        <v>1116.0</v>
      </c>
      <c r="O2" s="100">
        <v>0.1122</v>
      </c>
      <c r="P2" s="101" t="s">
        <v>421</v>
      </c>
      <c r="Q2" s="102">
        <v>0.1102</v>
      </c>
      <c r="R2" s="101" t="s">
        <v>422</v>
      </c>
      <c r="S2" s="102">
        <v>0.1013</v>
      </c>
      <c r="T2" s="109" t="s">
        <v>423</v>
      </c>
      <c r="U2" s="110">
        <v>0.0906</v>
      </c>
      <c r="V2" s="101" t="s">
        <v>424</v>
      </c>
      <c r="W2" s="102">
        <v>0.0934</v>
      </c>
      <c r="X2" s="105"/>
    </row>
    <row r="3">
      <c r="A3" s="95" t="s">
        <v>425</v>
      </c>
      <c r="B3" s="97">
        <v>557.0</v>
      </c>
      <c r="C3" s="98">
        <v>0.0356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6.75"/>
  </cols>
  <sheetData>
    <row r="1">
      <c r="A1" s="94" t="s">
        <v>401</v>
      </c>
      <c r="B1" s="90">
        <v>18.0</v>
      </c>
      <c r="C1" s="90">
        <v>17.0</v>
      </c>
      <c r="D1" s="1">
        <v>16.0</v>
      </c>
      <c r="E1" s="1">
        <v>15.0</v>
      </c>
      <c r="F1" s="1">
        <v>14.0</v>
      </c>
      <c r="G1" s="1">
        <v>13.0</v>
      </c>
      <c r="H1" s="1">
        <v>12.0</v>
      </c>
      <c r="I1" s="1">
        <v>11.0</v>
      </c>
      <c r="J1" s="1">
        <v>10.0</v>
      </c>
      <c r="K1" s="1">
        <v>9.0</v>
      </c>
      <c r="L1" s="92">
        <v>8.0</v>
      </c>
      <c r="M1" s="92">
        <v>7.0</v>
      </c>
    </row>
    <row r="2">
      <c r="A2" s="95" t="s">
        <v>402</v>
      </c>
      <c r="B2" s="98">
        <v>0.0024</v>
      </c>
      <c r="C2" s="98">
        <v>0.0015</v>
      </c>
      <c r="D2" s="100">
        <v>0.001</v>
      </c>
      <c r="E2" s="100">
        <v>0.0017</v>
      </c>
      <c r="F2" s="100">
        <v>0.0011</v>
      </c>
      <c r="G2" s="100">
        <v>0.0011</v>
      </c>
      <c r="H2" s="100">
        <v>0.0011</v>
      </c>
      <c r="I2" s="100">
        <v>0.0011</v>
      </c>
      <c r="J2" s="102">
        <v>0.001</v>
      </c>
      <c r="K2" s="102">
        <v>0.0014</v>
      </c>
      <c r="L2" s="104">
        <v>0.001</v>
      </c>
      <c r="M2" s="102">
        <v>0.0012</v>
      </c>
    </row>
    <row r="3">
      <c r="A3" s="95" t="s">
        <v>403</v>
      </c>
      <c r="B3" s="98">
        <v>0.1529</v>
      </c>
      <c r="C3" s="98">
        <v>0.1053</v>
      </c>
      <c r="D3" s="100">
        <v>0.0746</v>
      </c>
      <c r="E3" s="100">
        <v>0.056</v>
      </c>
      <c r="F3" s="100">
        <v>0.0583</v>
      </c>
      <c r="G3" s="100">
        <v>0.0661</v>
      </c>
      <c r="H3" s="100">
        <v>0.0694</v>
      </c>
      <c r="I3" s="100">
        <v>0.0575</v>
      </c>
      <c r="J3" s="102">
        <v>0.044</v>
      </c>
      <c r="K3" s="102">
        <v>0.0305</v>
      </c>
      <c r="L3" s="104">
        <v>0.0369</v>
      </c>
      <c r="M3" s="102">
        <v>0.0372</v>
      </c>
    </row>
    <row r="4">
      <c r="A4" s="95" t="s">
        <v>404</v>
      </c>
      <c r="B4" s="98">
        <v>0.3924</v>
      </c>
      <c r="C4" s="98">
        <v>0.3859</v>
      </c>
      <c r="D4" s="100">
        <v>0.3768</v>
      </c>
      <c r="E4" s="100">
        <v>0.343</v>
      </c>
      <c r="F4" s="100">
        <v>0.3492</v>
      </c>
      <c r="G4" s="100">
        <v>0.3631</v>
      </c>
      <c r="H4" s="100">
        <v>0.3946</v>
      </c>
      <c r="I4" s="100">
        <v>0.3544</v>
      </c>
      <c r="J4" s="102">
        <v>0.3249</v>
      </c>
      <c r="K4" s="102">
        <v>0.3209</v>
      </c>
      <c r="L4" s="104">
        <v>0.3386</v>
      </c>
      <c r="M4" s="102">
        <v>0.3391</v>
      </c>
    </row>
    <row r="5">
      <c r="A5" s="95" t="s">
        <v>405</v>
      </c>
      <c r="B5" s="98">
        <v>0.2209</v>
      </c>
      <c r="C5" s="98">
        <v>0.2388</v>
      </c>
      <c r="D5" s="100">
        <v>0.2652</v>
      </c>
      <c r="E5" s="100">
        <v>0.2814</v>
      </c>
      <c r="F5" s="100">
        <v>0.2948</v>
      </c>
      <c r="G5" s="100">
        <v>0.291</v>
      </c>
      <c r="H5" s="100">
        <v>0.2764</v>
      </c>
      <c r="I5" s="100">
        <v>0.2859</v>
      </c>
      <c r="J5" s="102">
        <v>0.3206</v>
      </c>
      <c r="K5" s="102">
        <v>0.3604</v>
      </c>
      <c r="L5" s="104">
        <v>0.3669</v>
      </c>
      <c r="M5" s="102">
        <v>0.3898</v>
      </c>
    </row>
    <row r="6">
      <c r="A6" s="95" t="s">
        <v>406</v>
      </c>
      <c r="B6" s="98">
        <v>0.113</v>
      </c>
      <c r="C6" s="98">
        <v>0.1326</v>
      </c>
      <c r="D6" s="100">
        <v>0.1455</v>
      </c>
      <c r="E6" s="100">
        <v>0.1579</v>
      </c>
      <c r="F6" s="100">
        <v>0.155</v>
      </c>
      <c r="G6" s="100">
        <v>0.1492</v>
      </c>
      <c r="H6" s="100">
        <v>0.1473</v>
      </c>
      <c r="I6" s="100">
        <v>0.1715</v>
      </c>
      <c r="J6" s="102">
        <v>0.1885</v>
      </c>
      <c r="K6" s="102">
        <v>0.187</v>
      </c>
      <c r="L6" s="104">
        <v>0.172</v>
      </c>
      <c r="M6" s="102">
        <v>0.1599</v>
      </c>
    </row>
    <row r="7">
      <c r="A7" s="95" t="s">
        <v>407</v>
      </c>
      <c r="B7" s="98">
        <v>0.0603</v>
      </c>
      <c r="C7" s="98">
        <v>0.0721</v>
      </c>
      <c r="D7" s="100">
        <v>0.0758</v>
      </c>
      <c r="E7" s="100">
        <v>0.0893</v>
      </c>
      <c r="F7" s="100">
        <v>0.0825</v>
      </c>
      <c r="G7" s="100">
        <v>0.0776</v>
      </c>
      <c r="H7" s="100">
        <v>0.069</v>
      </c>
      <c r="I7" s="100">
        <v>0.0805</v>
      </c>
      <c r="J7" s="102">
        <v>0.0771</v>
      </c>
      <c r="K7" s="102">
        <v>0.0669</v>
      </c>
      <c r="L7" s="104">
        <v>0.0587</v>
      </c>
      <c r="M7" s="102">
        <v>0.0524</v>
      </c>
    </row>
    <row r="8">
      <c r="A8" s="95" t="s">
        <v>408</v>
      </c>
      <c r="B8" s="98">
        <v>0.031</v>
      </c>
      <c r="C8" s="98">
        <v>0.0342</v>
      </c>
      <c r="D8" s="100">
        <v>0.035</v>
      </c>
      <c r="E8" s="100">
        <v>0.0415</v>
      </c>
      <c r="F8" s="100">
        <v>0.0368</v>
      </c>
      <c r="G8" s="100">
        <v>0.0318</v>
      </c>
      <c r="H8" s="100">
        <v>0.0275</v>
      </c>
      <c r="I8" s="100">
        <v>0.0321</v>
      </c>
      <c r="J8" s="102">
        <v>0.0301</v>
      </c>
      <c r="K8" s="102">
        <v>0.024</v>
      </c>
      <c r="L8" s="104">
        <v>0.0197</v>
      </c>
      <c r="M8" s="102">
        <v>0.0161</v>
      </c>
    </row>
    <row r="9">
      <c r="A9" s="95" t="s">
        <v>409</v>
      </c>
      <c r="B9" s="98">
        <v>0.0147</v>
      </c>
      <c r="C9" s="98">
        <v>0.0168</v>
      </c>
      <c r="D9" s="100">
        <v>0.0164</v>
      </c>
      <c r="E9" s="100">
        <v>0.0186</v>
      </c>
      <c r="F9" s="100">
        <v>0.0144</v>
      </c>
      <c r="G9" s="100">
        <v>0.013</v>
      </c>
      <c r="H9" s="100">
        <v>0.0088</v>
      </c>
      <c r="I9" s="100">
        <v>0.0113</v>
      </c>
      <c r="J9" s="102">
        <v>0.012</v>
      </c>
      <c r="K9" s="102">
        <v>0.0071</v>
      </c>
      <c r="L9" s="104">
        <v>0.0046</v>
      </c>
      <c r="M9" s="102">
        <v>0.0028</v>
      </c>
    </row>
    <row r="10">
      <c r="A10" s="95" t="s">
        <v>410</v>
      </c>
      <c r="B10" s="98">
        <v>0.0066</v>
      </c>
      <c r="C10" s="98">
        <v>0.0076</v>
      </c>
      <c r="D10" s="100">
        <v>0.0061</v>
      </c>
      <c r="E10" s="100">
        <v>0.007</v>
      </c>
      <c r="F10" s="100">
        <v>0.0051</v>
      </c>
      <c r="G10" s="100">
        <v>0.0034</v>
      </c>
      <c r="H10" s="100">
        <v>0.0028</v>
      </c>
      <c r="I10" s="100">
        <v>0.003</v>
      </c>
      <c r="J10" s="102">
        <v>7.0E-4</v>
      </c>
      <c r="K10" s="102">
        <v>8.0E-4</v>
      </c>
      <c r="L10" s="104">
        <v>1.0E-4</v>
      </c>
      <c r="M10" s="102">
        <v>3.0E-4</v>
      </c>
    </row>
    <row r="11">
      <c r="A11" s="95" t="s">
        <v>411</v>
      </c>
      <c r="B11" s="98">
        <v>0.0058</v>
      </c>
      <c r="C11" s="98">
        <v>0.0053</v>
      </c>
      <c r="D11" s="100">
        <v>0.0034</v>
      </c>
      <c r="E11" s="100">
        <v>0.0035</v>
      </c>
      <c r="F11" s="100">
        <v>0.003</v>
      </c>
      <c r="G11" s="100">
        <v>0.0038</v>
      </c>
      <c r="H11" s="100">
        <v>0.003</v>
      </c>
      <c r="I11" s="100">
        <v>0.0027</v>
      </c>
      <c r="J11" s="102">
        <v>0.0011</v>
      </c>
      <c r="K11" s="102">
        <v>0.0011</v>
      </c>
      <c r="L11" s="110">
        <v>0.0014</v>
      </c>
      <c r="M11" s="102">
        <v>0.0013</v>
      </c>
    </row>
    <row r="12">
      <c r="A12" s="1" t="s">
        <v>412</v>
      </c>
    </row>
    <row r="13">
      <c r="A13" s="1" t="s">
        <v>413</v>
      </c>
      <c r="B13" s="17" t="str">
        <f t="shared" ref="B13:L13" si="1">B25</f>
        <v/>
      </c>
      <c r="C13" s="17" t="str">
        <f t="shared" si="1"/>
        <v/>
      </c>
      <c r="D13" s="17" t="str">
        <f t="shared" si="1"/>
        <v/>
      </c>
      <c r="E13" s="17" t="str">
        <f t="shared" si="1"/>
        <v/>
      </c>
      <c r="F13" s="17" t="str">
        <f t="shared" si="1"/>
        <v/>
      </c>
      <c r="G13" s="17" t="str">
        <f t="shared" si="1"/>
        <v/>
      </c>
      <c r="H13" s="17" t="str">
        <f t="shared" si="1"/>
        <v/>
      </c>
      <c r="I13" s="17" t="str">
        <f t="shared" si="1"/>
        <v/>
      </c>
      <c r="J13" s="17" t="str">
        <f t="shared" si="1"/>
        <v/>
      </c>
      <c r="K13" s="17" t="str">
        <f t="shared" si="1"/>
        <v/>
      </c>
      <c r="L13" s="17" t="str">
        <f t="shared" si="1"/>
        <v/>
      </c>
    </row>
    <row r="18">
      <c r="A18" s="41" t="s">
        <v>413</v>
      </c>
    </row>
    <row r="20">
      <c r="A20" s="17">
        <v>19.593789230260985</v>
      </c>
    </row>
    <row r="22">
      <c r="A22" s="17">
        <v>20.311841180604358</v>
      </c>
    </row>
    <row r="24">
      <c r="A24" s="17">
        <v>20.653253552729993</v>
      </c>
    </row>
    <row r="26">
      <c r="A26" s="17">
        <v>21.122404801731772</v>
      </c>
    </row>
    <row r="28">
      <c r="A28" s="17">
        <v>20.952143950995406</v>
      </c>
    </row>
    <row r="30">
      <c r="A30" s="17">
        <v>20.791506813070512</v>
      </c>
    </row>
    <row r="32">
      <c r="A32" s="17">
        <v>20.474539095382063</v>
      </c>
    </row>
    <row r="34">
      <c r="A34" s="17">
        <v>20.973509933774835</v>
      </c>
    </row>
    <row r="36">
      <c r="A36" s="17">
        <v>21.262980346142562</v>
      </c>
    </row>
    <row r="38">
      <c r="A38" s="17">
        <v>21.34080175727622</v>
      </c>
    </row>
    <row r="40">
      <c r="A40" s="17">
        <v>21.07253670938619</v>
      </c>
    </row>
    <row r="42">
      <c r="A42" s="17">
        <v>20.984559722788422</v>
      </c>
    </row>
    <row r="44">
      <c r="A44" s="1" t="s">
        <v>401</v>
      </c>
      <c r="B44" s="95" t="s">
        <v>415</v>
      </c>
      <c r="C44" s="95" t="s">
        <v>420</v>
      </c>
    </row>
    <row r="45">
      <c r="A45" s="1">
        <v>18.0</v>
      </c>
      <c r="B45" s="98">
        <v>0.7473</v>
      </c>
      <c r="C45" s="98">
        <v>0.2171</v>
      </c>
    </row>
    <row r="46">
      <c r="A46" s="1">
        <v>17.0</v>
      </c>
      <c r="B46" s="98">
        <v>0.8089</v>
      </c>
      <c r="C46" s="98">
        <v>0.1911</v>
      </c>
    </row>
    <row r="47">
      <c r="A47" s="1">
        <v>16.0</v>
      </c>
      <c r="B47" s="100">
        <v>0.8399</v>
      </c>
      <c r="C47" s="100">
        <v>0.1601</v>
      </c>
    </row>
    <row r="48">
      <c r="A48" s="1">
        <v>15.0</v>
      </c>
      <c r="B48" s="100">
        <v>0.8569</v>
      </c>
      <c r="C48" s="100">
        <v>0.1431</v>
      </c>
    </row>
    <row r="49">
      <c r="A49" s="1">
        <v>14.0</v>
      </c>
      <c r="B49" s="100">
        <v>0.8661</v>
      </c>
      <c r="C49" s="100">
        <v>0.1339</v>
      </c>
    </row>
    <row r="50">
      <c r="A50" s="1">
        <v>13.0</v>
      </c>
      <c r="B50" s="100">
        <v>0.8836</v>
      </c>
      <c r="C50" s="100">
        <v>0.1164</v>
      </c>
    </row>
    <row r="51">
      <c r="A51" s="1">
        <v>12.0</v>
      </c>
      <c r="B51" s="100">
        <v>0.8878</v>
      </c>
      <c r="C51" s="100">
        <v>0.1122</v>
      </c>
    </row>
    <row r="52">
      <c r="A52" s="1">
        <v>11.0</v>
      </c>
      <c r="B52" s="102">
        <v>0.8898</v>
      </c>
      <c r="C52" s="102">
        <v>0.1102</v>
      </c>
    </row>
    <row r="53">
      <c r="A53" s="1">
        <v>10.0</v>
      </c>
      <c r="B53" s="102">
        <v>0.8987</v>
      </c>
      <c r="C53" s="102">
        <v>0.1013</v>
      </c>
    </row>
    <row r="54">
      <c r="A54" s="1">
        <v>9.0</v>
      </c>
      <c r="B54" s="104">
        <v>0.9094</v>
      </c>
      <c r="C54" s="110">
        <v>0.0906</v>
      </c>
    </row>
    <row r="55">
      <c r="A55" s="1">
        <v>8.0</v>
      </c>
      <c r="B55" s="102">
        <v>0.9066</v>
      </c>
      <c r="C55" s="102">
        <v>0.0934</v>
      </c>
    </row>
    <row r="56">
      <c r="A56" s="1">
        <v>7.0</v>
      </c>
      <c r="B56" s="104">
        <v>0.9094</v>
      </c>
      <c r="C56" s="110">
        <v>0.0906</v>
      </c>
    </row>
    <row r="57">
      <c r="B57" s="102"/>
      <c r="C57" s="10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  <c r="C1" s="1"/>
      <c r="D1" s="1">
        <v>18.0</v>
      </c>
      <c r="E1" s="1">
        <v>17.0</v>
      </c>
      <c r="F1" s="1">
        <v>16.0</v>
      </c>
      <c r="G1" s="1">
        <v>15.0</v>
      </c>
      <c r="H1" s="1">
        <v>14.0</v>
      </c>
      <c r="I1" s="1">
        <v>13.0</v>
      </c>
      <c r="J1" s="1">
        <v>12.0</v>
      </c>
    </row>
    <row r="2">
      <c r="A2" s="95" t="s">
        <v>426</v>
      </c>
      <c r="B2" s="97"/>
      <c r="C2" s="97"/>
      <c r="D2" s="97">
        <v>496.0</v>
      </c>
      <c r="E2" s="111">
        <v>429.0</v>
      </c>
      <c r="F2" s="99">
        <v>426.0</v>
      </c>
      <c r="G2" s="99">
        <v>399.0</v>
      </c>
      <c r="H2" s="111">
        <v>491.0</v>
      </c>
      <c r="I2" s="99">
        <v>598.0</v>
      </c>
      <c r="J2" s="99">
        <v>715.0</v>
      </c>
    </row>
    <row r="3">
      <c r="A3" s="95" t="s">
        <v>427</v>
      </c>
      <c r="B3" s="97"/>
      <c r="C3" s="97"/>
      <c r="D3" s="97">
        <v>280.0</v>
      </c>
      <c r="E3" s="111">
        <v>212.0</v>
      </c>
      <c r="F3" s="99">
        <v>220.0</v>
      </c>
      <c r="G3" s="99">
        <v>187.0</v>
      </c>
      <c r="H3" s="111">
        <v>272.0</v>
      </c>
      <c r="I3" s="99">
        <v>360.0</v>
      </c>
      <c r="J3" s="99">
        <v>384.0</v>
      </c>
    </row>
    <row r="4">
      <c r="A4" s="95" t="s">
        <v>428</v>
      </c>
      <c r="B4" s="97"/>
      <c r="C4" s="97"/>
      <c r="D4" s="97">
        <v>497.0</v>
      </c>
      <c r="E4" s="111">
        <v>394.0</v>
      </c>
      <c r="F4" s="99">
        <v>442.0</v>
      </c>
      <c r="G4" s="99">
        <v>338.0</v>
      </c>
      <c r="H4" s="111">
        <v>444.0</v>
      </c>
      <c r="I4" s="99">
        <v>563.0</v>
      </c>
      <c r="J4" s="99">
        <v>628.0</v>
      </c>
    </row>
    <row r="5">
      <c r="A5" s="95" t="s">
        <v>429</v>
      </c>
      <c r="B5" s="97"/>
      <c r="C5" s="97"/>
      <c r="D5" s="97">
        <v>654.0</v>
      </c>
      <c r="E5" s="111">
        <v>505.0</v>
      </c>
      <c r="F5" s="99">
        <v>589.0</v>
      </c>
      <c r="G5" s="99">
        <v>510.0</v>
      </c>
      <c r="H5" s="111">
        <v>634.0</v>
      </c>
      <c r="I5" s="99">
        <v>750.0</v>
      </c>
      <c r="J5" s="99">
        <v>805.0</v>
      </c>
    </row>
    <row r="6">
      <c r="A6" s="95" t="s">
        <v>430</v>
      </c>
      <c r="B6" s="107"/>
      <c r="C6" s="107"/>
      <c r="D6" s="107">
        <v>3879.0</v>
      </c>
      <c r="E6" s="112">
        <v>2967.0</v>
      </c>
      <c r="F6" s="108">
        <v>3765.0</v>
      </c>
      <c r="G6" s="99">
        <v>2958.0</v>
      </c>
      <c r="H6" s="111">
        <v>3813.0</v>
      </c>
      <c r="I6" s="99">
        <v>4545.0</v>
      </c>
      <c r="J6" s="99">
        <v>5019.0</v>
      </c>
    </row>
    <row r="7">
      <c r="A7" s="95" t="s">
        <v>431</v>
      </c>
      <c r="B7" s="97"/>
      <c r="C7" s="97"/>
      <c r="D7" s="97">
        <v>263.0</v>
      </c>
      <c r="E7" s="111">
        <v>188.0</v>
      </c>
      <c r="F7" s="99">
        <v>230.0</v>
      </c>
      <c r="G7" s="99">
        <v>191.0</v>
      </c>
      <c r="H7" s="111">
        <v>255.0</v>
      </c>
      <c r="I7" s="99">
        <v>301.0</v>
      </c>
      <c r="J7" s="99">
        <v>351.0</v>
      </c>
    </row>
    <row r="8">
      <c r="A8" s="95" t="s">
        <v>432</v>
      </c>
      <c r="B8" s="97"/>
      <c r="C8" s="97"/>
      <c r="D8" s="97">
        <v>506.0</v>
      </c>
      <c r="E8" s="111">
        <v>383.0</v>
      </c>
      <c r="F8" s="99">
        <v>420.0</v>
      </c>
      <c r="G8" s="99">
        <v>335.0</v>
      </c>
      <c r="H8" s="111">
        <v>471.0</v>
      </c>
      <c r="I8" s="99">
        <v>532.0</v>
      </c>
      <c r="J8" s="99">
        <v>597.0</v>
      </c>
    </row>
    <row r="9">
      <c r="A9" s="95" t="s">
        <v>433</v>
      </c>
      <c r="B9" s="107"/>
      <c r="C9" s="107"/>
      <c r="D9" s="107">
        <v>1411.0</v>
      </c>
      <c r="E9" s="112">
        <v>1017.0</v>
      </c>
      <c r="F9" s="108">
        <v>1221.0</v>
      </c>
      <c r="G9" s="99">
        <v>1006.0</v>
      </c>
      <c r="H9" s="111">
        <v>1285.0</v>
      </c>
      <c r="I9" s="99">
        <v>1534.0</v>
      </c>
      <c r="J9" s="99">
        <v>1692.0</v>
      </c>
    </row>
    <row r="10">
      <c r="A10" s="95" t="s">
        <v>434</v>
      </c>
      <c r="B10" s="107"/>
      <c r="C10" s="107"/>
      <c r="D10" s="107">
        <v>1776.0</v>
      </c>
      <c r="E10" s="112">
        <v>1284.0</v>
      </c>
      <c r="F10" s="108">
        <v>1663.0</v>
      </c>
      <c r="G10" s="99">
        <v>1259.0</v>
      </c>
      <c r="H10" s="111">
        <v>1675.0</v>
      </c>
      <c r="I10" s="99">
        <v>2048.0</v>
      </c>
      <c r="J10" s="99">
        <v>2339.0</v>
      </c>
    </row>
    <row r="11">
      <c r="A11" s="95" t="s">
        <v>435</v>
      </c>
      <c r="B11" s="97"/>
      <c r="C11" s="97"/>
      <c r="D11" s="97">
        <v>587.0</v>
      </c>
      <c r="E11" s="111">
        <v>435.0</v>
      </c>
      <c r="F11" s="99">
        <v>524.0</v>
      </c>
      <c r="G11" s="99">
        <v>425.0</v>
      </c>
      <c r="H11" s="111">
        <v>558.0</v>
      </c>
      <c r="I11" s="99">
        <v>629.0</v>
      </c>
      <c r="J11" s="99">
        <v>729.0</v>
      </c>
    </row>
    <row r="12">
      <c r="A12" s="95" t="s">
        <v>436</v>
      </c>
      <c r="B12" s="97"/>
      <c r="C12" s="97"/>
      <c r="D12" s="97">
        <v>279.0</v>
      </c>
      <c r="E12" s="111">
        <v>226.0</v>
      </c>
      <c r="F12" s="99">
        <v>236.0</v>
      </c>
      <c r="G12" s="99">
        <v>168.0</v>
      </c>
      <c r="H12" s="111">
        <v>242.0</v>
      </c>
      <c r="I12" s="99">
        <v>335.0</v>
      </c>
      <c r="J12" s="99">
        <v>367.0</v>
      </c>
    </row>
    <row r="13">
      <c r="A13" s="95" t="s">
        <v>437</v>
      </c>
      <c r="B13" s="97"/>
      <c r="C13" s="97"/>
      <c r="D13" s="97">
        <v>567.0</v>
      </c>
      <c r="E13" s="111">
        <v>402.0</v>
      </c>
      <c r="F13" s="99">
        <v>425.0</v>
      </c>
      <c r="G13" s="99">
        <v>398.0</v>
      </c>
      <c r="H13" s="111">
        <v>502.0</v>
      </c>
      <c r="I13" s="99">
        <v>638.0</v>
      </c>
      <c r="J13" s="99">
        <v>670.0</v>
      </c>
    </row>
    <row r="14">
      <c r="A14" s="95" t="s">
        <v>438</v>
      </c>
      <c r="B14" s="97"/>
      <c r="C14" s="97"/>
      <c r="D14" s="97">
        <v>363.0</v>
      </c>
      <c r="E14" s="111">
        <v>240.0</v>
      </c>
      <c r="F14" s="99">
        <v>266.0</v>
      </c>
      <c r="G14" s="99">
        <v>225.0</v>
      </c>
      <c r="H14" s="111">
        <v>313.0</v>
      </c>
      <c r="I14" s="99">
        <v>380.0</v>
      </c>
      <c r="J14" s="99">
        <v>403.0</v>
      </c>
    </row>
    <row r="15">
      <c r="A15" s="95" t="s">
        <v>439</v>
      </c>
      <c r="B15" s="107"/>
      <c r="C15" s="107"/>
      <c r="D15" s="107">
        <v>1225.0</v>
      </c>
      <c r="E15" s="112">
        <v>1169.0</v>
      </c>
      <c r="F15" s="108">
        <v>1789.0</v>
      </c>
      <c r="G15" s="99">
        <v>1015.0</v>
      </c>
      <c r="H15" s="111">
        <v>1258.0</v>
      </c>
      <c r="I15" s="99">
        <v>959.0</v>
      </c>
      <c r="J15" s="99">
        <v>1358.0</v>
      </c>
    </row>
    <row r="16">
      <c r="A16" s="95" t="s">
        <v>440</v>
      </c>
      <c r="B16" s="97"/>
      <c r="C16" s="97"/>
      <c r="D16" s="97">
        <v>270.0</v>
      </c>
      <c r="E16" s="111">
        <v>193.0</v>
      </c>
      <c r="F16" s="99">
        <v>145.0</v>
      </c>
      <c r="G16" s="99">
        <v>85.0</v>
      </c>
      <c r="H16" s="111">
        <v>91.0</v>
      </c>
      <c r="I16" s="99">
        <v>121.0</v>
      </c>
      <c r="J16" s="99">
        <v>55.0</v>
      </c>
    </row>
    <row r="17">
      <c r="A17" s="95" t="s">
        <v>441</v>
      </c>
      <c r="B17" s="97"/>
      <c r="C17" s="97"/>
      <c r="D17" s="97">
        <v>39.0</v>
      </c>
      <c r="E17" s="111">
        <v>37.0</v>
      </c>
      <c r="F17" s="99">
        <v>28.0</v>
      </c>
      <c r="G17" s="99">
        <v>14.0</v>
      </c>
      <c r="H17" s="111">
        <v>11.0</v>
      </c>
      <c r="I17" s="99">
        <v>15.0</v>
      </c>
      <c r="J17" s="99">
        <v>15.0</v>
      </c>
    </row>
    <row r="18">
      <c r="A18" s="95" t="s">
        <v>442</v>
      </c>
      <c r="B18" s="97"/>
      <c r="C18" s="97"/>
      <c r="D18" s="97">
        <v>482.0</v>
      </c>
      <c r="E18" s="111">
        <v>277.0</v>
      </c>
      <c r="F18" s="99">
        <v>229.0</v>
      </c>
      <c r="G18" s="99">
        <v>154.0</v>
      </c>
      <c r="H18" s="111">
        <v>147.0</v>
      </c>
      <c r="I18" s="99">
        <v>155.0</v>
      </c>
      <c r="J18" s="99">
        <v>113.0</v>
      </c>
    </row>
    <row r="19">
      <c r="A19" s="95" t="s">
        <v>443</v>
      </c>
      <c r="B19" s="97"/>
      <c r="C19" s="97"/>
      <c r="D19" s="97">
        <v>21.0</v>
      </c>
      <c r="E19" s="111">
        <v>19.0</v>
      </c>
      <c r="F19" s="99">
        <v>12.0</v>
      </c>
      <c r="G19" s="99">
        <v>10.0</v>
      </c>
      <c r="H19" s="111">
        <v>10.0</v>
      </c>
      <c r="I19" s="99">
        <v>14.0</v>
      </c>
      <c r="J19" s="99">
        <v>10.0</v>
      </c>
    </row>
    <row r="20">
      <c r="A20" s="95" t="s">
        <v>444</v>
      </c>
      <c r="B20" s="97"/>
      <c r="C20" s="97"/>
      <c r="D20" s="97">
        <v>681.0</v>
      </c>
      <c r="E20" s="111">
        <v>380.0</v>
      </c>
      <c r="F20" s="99">
        <v>307.0</v>
      </c>
      <c r="G20" s="99">
        <v>224.0</v>
      </c>
      <c r="H20" s="111">
        <v>204.0</v>
      </c>
      <c r="I20" s="99">
        <v>224.0</v>
      </c>
      <c r="J20" s="99">
        <v>147.0</v>
      </c>
    </row>
    <row r="21">
      <c r="A21" s="95" t="s">
        <v>445</v>
      </c>
      <c r="B21" s="97"/>
      <c r="C21" s="97"/>
      <c r="D21" s="97">
        <v>222.0</v>
      </c>
      <c r="E21" s="111">
        <v>135.0</v>
      </c>
      <c r="F21" s="99">
        <v>58.0</v>
      </c>
      <c r="G21" s="99">
        <v>52.0</v>
      </c>
      <c r="H21" s="111">
        <v>58.0</v>
      </c>
      <c r="I21" s="99">
        <v>66.0</v>
      </c>
      <c r="J21" s="99">
        <v>36.0</v>
      </c>
    </row>
    <row r="22">
      <c r="A22" s="95" t="s">
        <v>446</v>
      </c>
      <c r="B22" s="97"/>
      <c r="C22" s="97"/>
      <c r="D22" s="97">
        <v>63.0</v>
      </c>
      <c r="E22" s="111">
        <v>36.0</v>
      </c>
      <c r="F22" s="99">
        <v>39.0</v>
      </c>
      <c r="G22" s="99">
        <v>28.0</v>
      </c>
      <c r="H22" s="111">
        <v>29.0</v>
      </c>
      <c r="I22" s="99">
        <v>26.0</v>
      </c>
      <c r="J22" s="99">
        <v>33.0</v>
      </c>
    </row>
    <row r="24">
      <c r="A24" s="95" t="s">
        <v>426</v>
      </c>
      <c r="B24" s="113"/>
      <c r="C24" s="113"/>
      <c r="D24" s="113">
        <v>0.0341</v>
      </c>
      <c r="E24" s="114">
        <v>0.0393</v>
      </c>
      <c r="F24" s="100">
        <v>0.0327</v>
      </c>
      <c r="G24" s="115">
        <v>0.04</v>
      </c>
      <c r="H24" s="114">
        <v>0.0385</v>
      </c>
      <c r="I24" s="100">
        <v>0.0404</v>
      </c>
      <c r="J24" s="100">
        <v>0.0434</v>
      </c>
    </row>
    <row r="25">
      <c r="A25" s="95" t="s">
        <v>427</v>
      </c>
      <c r="B25" s="98"/>
      <c r="C25" s="98"/>
      <c r="D25" s="98">
        <v>0.0192</v>
      </c>
      <c r="E25" s="114">
        <v>0.0194</v>
      </c>
      <c r="F25" s="100">
        <v>0.0169</v>
      </c>
      <c r="G25" s="100">
        <v>0.0187</v>
      </c>
      <c r="H25" s="114">
        <v>0.0213</v>
      </c>
      <c r="I25" s="100">
        <v>0.0243</v>
      </c>
      <c r="J25" s="100">
        <v>0.0233</v>
      </c>
    </row>
    <row r="26">
      <c r="A26" s="95" t="s">
        <v>428</v>
      </c>
      <c r="B26" s="98"/>
      <c r="C26" s="98"/>
      <c r="D26" s="98">
        <v>0.0341</v>
      </c>
      <c r="E26" s="114">
        <v>0.0361</v>
      </c>
      <c r="F26" s="100">
        <v>0.0339</v>
      </c>
      <c r="G26" s="100">
        <v>0.0339</v>
      </c>
      <c r="H26" s="114">
        <v>0.0348</v>
      </c>
      <c r="I26" s="100">
        <v>0.0381</v>
      </c>
      <c r="J26" s="100">
        <v>0.0381</v>
      </c>
    </row>
    <row r="27">
      <c r="A27" s="95" t="s">
        <v>429</v>
      </c>
      <c r="B27" s="98"/>
      <c r="C27" s="98"/>
      <c r="D27" s="98">
        <v>0.0449</v>
      </c>
      <c r="E27" s="114">
        <v>0.0462</v>
      </c>
      <c r="F27" s="100">
        <v>0.0452</v>
      </c>
      <c r="G27" s="100">
        <v>0.0511</v>
      </c>
      <c r="H27" s="114">
        <v>0.0497</v>
      </c>
      <c r="I27" s="100">
        <v>0.0507</v>
      </c>
      <c r="J27" s="100">
        <v>0.0489</v>
      </c>
    </row>
    <row r="28">
      <c r="A28" s="95" t="s">
        <v>430</v>
      </c>
      <c r="B28" s="98"/>
      <c r="C28" s="98"/>
      <c r="D28" s="98">
        <v>0.2664</v>
      </c>
      <c r="E28" s="114">
        <v>0.2715</v>
      </c>
      <c r="F28" s="100">
        <v>0.2889</v>
      </c>
      <c r="G28" s="100">
        <v>0.2964</v>
      </c>
      <c r="H28" s="114">
        <v>0.2988</v>
      </c>
      <c r="I28" s="100">
        <v>0.3072</v>
      </c>
      <c r="J28" s="100">
        <v>0.3048</v>
      </c>
    </row>
    <row r="29">
      <c r="A29" s="95" t="s">
        <v>431</v>
      </c>
      <c r="B29" s="98"/>
      <c r="C29" s="98"/>
      <c r="D29" s="98">
        <v>0.0181</v>
      </c>
      <c r="E29" s="114">
        <v>0.0172</v>
      </c>
      <c r="F29" s="100">
        <v>0.0176</v>
      </c>
      <c r="G29" s="100">
        <v>0.0191</v>
      </c>
      <c r="H29" s="116">
        <v>0.02</v>
      </c>
      <c r="I29" s="100">
        <v>0.0203</v>
      </c>
      <c r="J29" s="100">
        <v>0.0213</v>
      </c>
    </row>
    <row r="30">
      <c r="A30" s="95" t="s">
        <v>432</v>
      </c>
      <c r="B30" s="98"/>
      <c r="C30" s="98"/>
      <c r="D30" s="98">
        <v>0.0348</v>
      </c>
      <c r="E30" s="114">
        <v>0.035</v>
      </c>
      <c r="F30" s="100">
        <v>0.0322</v>
      </c>
      <c r="G30" s="100">
        <v>0.0336</v>
      </c>
      <c r="H30" s="114">
        <v>0.0369</v>
      </c>
      <c r="I30" s="100">
        <v>0.036</v>
      </c>
      <c r="J30" s="100">
        <v>0.0363</v>
      </c>
    </row>
    <row r="31">
      <c r="A31" s="95" t="s">
        <v>433</v>
      </c>
      <c r="B31" s="98"/>
      <c r="C31" s="98"/>
      <c r="D31" s="98">
        <v>0.0969</v>
      </c>
      <c r="E31" s="114">
        <v>0.0931</v>
      </c>
      <c r="F31" s="100">
        <v>0.0937</v>
      </c>
      <c r="G31" s="100">
        <v>0.1008</v>
      </c>
      <c r="H31" s="114">
        <v>0.1007</v>
      </c>
      <c r="I31" s="100">
        <v>0.1037</v>
      </c>
      <c r="J31" s="100">
        <v>0.1028</v>
      </c>
    </row>
    <row r="32">
      <c r="A32" s="95" t="s">
        <v>434</v>
      </c>
      <c r="B32" s="98"/>
      <c r="C32" s="98"/>
      <c r="D32" s="98">
        <v>0.122</v>
      </c>
      <c r="E32" s="114">
        <v>0.1175</v>
      </c>
      <c r="F32" s="100">
        <v>0.1276</v>
      </c>
      <c r="G32" s="100">
        <v>0.1261</v>
      </c>
      <c r="H32" s="114">
        <v>0.1312</v>
      </c>
      <c r="I32" s="100">
        <v>0.1384</v>
      </c>
      <c r="J32" s="100">
        <v>0.1421</v>
      </c>
    </row>
    <row r="33">
      <c r="A33" s="95" t="s">
        <v>435</v>
      </c>
      <c r="B33" s="98"/>
      <c r="C33" s="98"/>
      <c r="D33" s="98">
        <v>0.0403</v>
      </c>
      <c r="E33" s="114">
        <v>0.0398</v>
      </c>
      <c r="F33" s="100">
        <v>0.0402</v>
      </c>
      <c r="G33" s="100">
        <v>0.0426</v>
      </c>
      <c r="H33" s="114">
        <v>0.0437</v>
      </c>
      <c r="I33" s="100">
        <v>0.0425</v>
      </c>
      <c r="J33" s="100">
        <v>0.0443</v>
      </c>
    </row>
    <row r="34">
      <c r="A34" s="95" t="s">
        <v>436</v>
      </c>
      <c r="B34" s="98"/>
      <c r="C34" s="98"/>
      <c r="D34" s="98">
        <v>0.0192</v>
      </c>
      <c r="E34" s="114">
        <v>0.0207</v>
      </c>
      <c r="F34" s="100">
        <v>0.0181</v>
      </c>
      <c r="G34" s="100">
        <v>0.0168</v>
      </c>
      <c r="H34" s="114">
        <v>0.019</v>
      </c>
      <c r="I34" s="100">
        <v>0.0226</v>
      </c>
      <c r="J34" s="100">
        <v>0.0223</v>
      </c>
    </row>
    <row r="35">
      <c r="A35" s="95" t="s">
        <v>437</v>
      </c>
      <c r="B35" s="98"/>
      <c r="C35" s="98"/>
      <c r="D35" s="98">
        <v>0.0389</v>
      </c>
      <c r="E35" s="114">
        <v>0.0368</v>
      </c>
      <c r="F35" s="100">
        <v>0.0326</v>
      </c>
      <c r="G35" s="100">
        <v>0.0399</v>
      </c>
      <c r="H35" s="114">
        <v>0.0393</v>
      </c>
      <c r="I35" s="100">
        <v>0.0431</v>
      </c>
      <c r="J35" s="100">
        <v>0.0407</v>
      </c>
    </row>
    <row r="36">
      <c r="A36" s="95" t="s">
        <v>438</v>
      </c>
      <c r="B36" s="98"/>
      <c r="C36" s="98"/>
      <c r="D36" s="98">
        <v>0.0249</v>
      </c>
      <c r="E36" s="114">
        <v>0.022</v>
      </c>
      <c r="F36" s="100">
        <v>0.0204</v>
      </c>
      <c r="G36" s="100">
        <v>0.0225</v>
      </c>
      <c r="H36" s="114">
        <v>0.0245</v>
      </c>
      <c r="I36" s="100">
        <v>0.0257</v>
      </c>
      <c r="J36" s="100">
        <v>0.0245</v>
      </c>
    </row>
    <row r="37">
      <c r="A37" s="95" t="s">
        <v>439</v>
      </c>
      <c r="B37" s="98"/>
      <c r="C37" s="98"/>
      <c r="D37" s="98">
        <v>0.0841</v>
      </c>
      <c r="E37" s="114">
        <v>0.107</v>
      </c>
      <c r="F37" s="100">
        <v>0.1373</v>
      </c>
      <c r="G37" s="100">
        <v>0.1017</v>
      </c>
      <c r="H37" s="114">
        <v>0.0986</v>
      </c>
      <c r="I37" s="100">
        <v>0.0648</v>
      </c>
      <c r="J37" s="100">
        <v>0.0825</v>
      </c>
    </row>
    <row r="38">
      <c r="A38" s="95" t="s">
        <v>440</v>
      </c>
      <c r="B38" s="98"/>
      <c r="C38" s="98"/>
      <c r="D38" s="98">
        <v>0.0185</v>
      </c>
      <c r="E38" s="114">
        <v>0.0177</v>
      </c>
      <c r="F38" s="100">
        <v>0.0111</v>
      </c>
      <c r="G38" s="100">
        <v>0.0085</v>
      </c>
      <c r="H38" s="114">
        <v>0.0071</v>
      </c>
      <c r="I38" s="100">
        <v>0.0082</v>
      </c>
      <c r="J38" s="100">
        <v>0.0033</v>
      </c>
    </row>
    <row r="39">
      <c r="A39" s="95" t="s">
        <v>441</v>
      </c>
      <c r="B39" s="98"/>
      <c r="C39" s="98"/>
      <c r="D39" s="98">
        <v>0.0027</v>
      </c>
      <c r="E39" s="114">
        <v>0.0034</v>
      </c>
      <c r="F39" s="100">
        <v>0.0021</v>
      </c>
      <c r="G39" s="100">
        <v>0.0014</v>
      </c>
      <c r="H39" s="114">
        <v>9.0E-4</v>
      </c>
      <c r="I39" s="100">
        <v>0.001</v>
      </c>
      <c r="J39" s="100">
        <v>9.0E-4</v>
      </c>
    </row>
    <row r="40">
      <c r="A40" s="95" t="s">
        <v>442</v>
      </c>
      <c r="B40" s="98"/>
      <c r="C40" s="98"/>
      <c r="D40" s="98">
        <v>0.0331</v>
      </c>
      <c r="E40" s="114">
        <v>0.0253</v>
      </c>
      <c r="F40" s="100">
        <v>0.0176</v>
      </c>
      <c r="G40" s="100">
        <v>0.0154</v>
      </c>
      <c r="H40" s="114">
        <v>0.0115</v>
      </c>
      <c r="I40" s="100">
        <v>0.0105</v>
      </c>
      <c r="J40" s="100">
        <v>0.0069</v>
      </c>
    </row>
    <row r="41">
      <c r="A41" s="95" t="s">
        <v>443</v>
      </c>
      <c r="B41" s="98"/>
      <c r="C41" s="98"/>
      <c r="D41" s="98">
        <v>0.0014</v>
      </c>
      <c r="E41" s="114">
        <v>0.0017</v>
      </c>
      <c r="F41" s="100">
        <v>9.0E-4</v>
      </c>
      <c r="G41" s="100">
        <v>0.001</v>
      </c>
      <c r="H41" s="114">
        <v>8.0E-4</v>
      </c>
      <c r="I41" s="100">
        <v>9.0E-4</v>
      </c>
      <c r="J41" s="100">
        <v>6.0E-4</v>
      </c>
    </row>
    <row r="42">
      <c r="A42" s="95" t="s">
        <v>444</v>
      </c>
      <c r="B42" s="98"/>
      <c r="C42" s="98"/>
      <c r="D42" s="98">
        <v>0.0468</v>
      </c>
      <c r="E42" s="114">
        <v>0.0348</v>
      </c>
      <c r="F42" s="100">
        <v>0.0236</v>
      </c>
      <c r="G42" s="100">
        <v>0.0224</v>
      </c>
      <c r="H42" s="114">
        <v>0.016</v>
      </c>
      <c r="I42" s="100">
        <v>0.0151</v>
      </c>
      <c r="J42" s="100">
        <v>0.0089</v>
      </c>
    </row>
    <row r="43">
      <c r="A43" s="95" t="s">
        <v>445</v>
      </c>
      <c r="B43" s="98"/>
      <c r="C43" s="98"/>
      <c r="D43" s="98">
        <v>0.0152</v>
      </c>
      <c r="E43" s="114">
        <v>0.0124</v>
      </c>
      <c r="F43" s="100">
        <v>0.0044</v>
      </c>
      <c r="G43" s="100">
        <v>0.0052</v>
      </c>
      <c r="H43" s="114">
        <v>0.0045</v>
      </c>
      <c r="I43" s="100">
        <v>0.0045</v>
      </c>
      <c r="J43" s="100">
        <v>0.0022</v>
      </c>
    </row>
    <row r="44">
      <c r="A44" s="95" t="s">
        <v>446</v>
      </c>
      <c r="B44" s="98"/>
      <c r="C44" s="98"/>
      <c r="D44" s="98">
        <v>0.0043</v>
      </c>
      <c r="E44" s="114">
        <v>0.0033</v>
      </c>
      <c r="F44" s="100">
        <v>0.003</v>
      </c>
      <c r="G44" s="100">
        <v>0.0028</v>
      </c>
      <c r="H44" s="114">
        <v>0.0023</v>
      </c>
      <c r="I44" s="100">
        <v>0.0018</v>
      </c>
      <c r="J44" s="100">
        <v>0.002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41.38"/>
  </cols>
  <sheetData>
    <row r="1">
      <c r="A1" s="1" t="s">
        <v>447</v>
      </c>
      <c r="B1" s="1" t="s">
        <v>448</v>
      </c>
      <c r="C1" s="1" t="s">
        <v>323</v>
      </c>
      <c r="D1" s="1" t="s">
        <v>4</v>
      </c>
      <c r="E1" s="1" t="s">
        <v>5</v>
      </c>
      <c r="F1" s="1" t="s">
        <v>2</v>
      </c>
    </row>
    <row r="2">
      <c r="A2" s="117" t="s">
        <v>15</v>
      </c>
      <c r="B2" s="118" t="s">
        <v>449</v>
      </c>
      <c r="C2" s="118" t="s">
        <v>15</v>
      </c>
      <c r="D2" s="118">
        <v>2008.0</v>
      </c>
      <c r="E2" s="118">
        <v>5.0</v>
      </c>
      <c r="F2" s="118">
        <v>10.5</v>
      </c>
      <c r="G2" s="118"/>
    </row>
    <row r="3">
      <c r="A3" s="117" t="s">
        <v>450</v>
      </c>
      <c r="B3" s="118" t="s">
        <v>451</v>
      </c>
      <c r="C3" s="118" t="s">
        <v>15</v>
      </c>
      <c r="D3" s="118">
        <v>2008.0</v>
      </c>
      <c r="E3" s="118">
        <v>5.0</v>
      </c>
      <c r="F3" s="118">
        <v>10.5</v>
      </c>
      <c r="G3" s="118"/>
    </row>
    <row r="4">
      <c r="A4" s="117" t="s">
        <v>452</v>
      </c>
      <c r="B4" s="118" t="s">
        <v>453</v>
      </c>
      <c r="C4" s="118" t="s">
        <v>15</v>
      </c>
      <c r="D4" s="118">
        <v>2008.0</v>
      </c>
      <c r="E4" s="118">
        <v>5.0</v>
      </c>
      <c r="F4" s="118">
        <v>10.5</v>
      </c>
      <c r="G4" s="118"/>
    </row>
    <row r="5">
      <c r="A5" s="117" t="s">
        <v>454</v>
      </c>
      <c r="B5" s="118" t="s">
        <v>451</v>
      </c>
      <c r="C5" s="118" t="s">
        <v>15</v>
      </c>
      <c r="D5" s="118">
        <v>2008.0</v>
      </c>
      <c r="E5" s="118">
        <v>5.0</v>
      </c>
      <c r="F5" s="118">
        <v>10.5</v>
      </c>
      <c r="G5" s="118"/>
    </row>
    <row r="6">
      <c r="A6" s="117" t="s">
        <v>455</v>
      </c>
      <c r="B6" s="118" t="s">
        <v>451</v>
      </c>
      <c r="C6" s="118" t="s">
        <v>15</v>
      </c>
      <c r="D6" s="118">
        <v>2008.0</v>
      </c>
      <c r="E6" s="118">
        <v>5.0</v>
      </c>
      <c r="F6" s="118">
        <v>10.5</v>
      </c>
      <c r="G6" s="118"/>
    </row>
    <row r="7">
      <c r="A7" s="117" t="s">
        <v>456</v>
      </c>
      <c r="B7" s="118" t="s">
        <v>457</v>
      </c>
      <c r="C7" s="118" t="s">
        <v>15</v>
      </c>
      <c r="D7" s="118">
        <v>2008.0</v>
      </c>
      <c r="E7" s="118">
        <v>5.0</v>
      </c>
      <c r="F7" s="118">
        <v>10.5</v>
      </c>
      <c r="G7" s="118"/>
    </row>
    <row r="8">
      <c r="A8" s="117" t="s">
        <v>458</v>
      </c>
      <c r="B8" s="118" t="s">
        <v>459</v>
      </c>
      <c r="C8" s="118" t="s">
        <v>15</v>
      </c>
      <c r="D8" s="118">
        <v>2008.0</v>
      </c>
      <c r="E8" s="118">
        <v>5.0</v>
      </c>
      <c r="F8" s="118">
        <v>10.5</v>
      </c>
      <c r="G8" s="118"/>
    </row>
    <row r="9">
      <c r="A9" s="117" t="s">
        <v>460</v>
      </c>
      <c r="B9" s="118" t="s">
        <v>451</v>
      </c>
      <c r="C9" s="118" t="s">
        <v>15</v>
      </c>
      <c r="D9" s="118">
        <v>2008.0</v>
      </c>
      <c r="E9" s="118">
        <v>5.0</v>
      </c>
      <c r="F9" s="118">
        <v>10.5</v>
      </c>
      <c r="G9" s="118"/>
    </row>
    <row r="10">
      <c r="A10" s="117" t="s">
        <v>461</v>
      </c>
      <c r="B10" s="118" t="s">
        <v>451</v>
      </c>
      <c r="C10" s="118" t="s">
        <v>15</v>
      </c>
      <c r="D10" s="118">
        <v>2008.0</v>
      </c>
      <c r="E10" s="118">
        <v>5.0</v>
      </c>
      <c r="F10" s="118">
        <v>10.5</v>
      </c>
      <c r="G10" s="118"/>
    </row>
    <row r="11">
      <c r="A11" s="117" t="s">
        <v>462</v>
      </c>
      <c r="B11" s="118" t="s">
        <v>463</v>
      </c>
      <c r="C11" s="118" t="s">
        <v>15</v>
      </c>
      <c r="D11" s="118">
        <v>2008.0</v>
      </c>
      <c r="E11" s="118">
        <v>5.0</v>
      </c>
      <c r="F11" s="118">
        <v>10.5</v>
      </c>
      <c r="G11" s="118"/>
    </row>
    <row r="12">
      <c r="A12" s="117" t="s">
        <v>464</v>
      </c>
      <c r="B12" s="118" t="s">
        <v>451</v>
      </c>
      <c r="C12" s="118" t="s">
        <v>15</v>
      </c>
      <c r="D12" s="118">
        <v>2008.0</v>
      </c>
      <c r="E12" s="118">
        <v>5.0</v>
      </c>
      <c r="F12" s="118">
        <v>10.5</v>
      </c>
      <c r="G12" s="118"/>
    </row>
    <row r="13">
      <c r="A13" s="117" t="s">
        <v>465</v>
      </c>
      <c r="B13" s="118" t="s">
        <v>466</v>
      </c>
      <c r="C13" s="118" t="s">
        <v>15</v>
      </c>
      <c r="D13" s="118">
        <v>2008.0</v>
      </c>
      <c r="E13" s="118">
        <v>5.0</v>
      </c>
      <c r="F13" s="118">
        <v>10.5</v>
      </c>
      <c r="G13" s="118"/>
    </row>
    <row r="14">
      <c r="A14" s="117" t="s">
        <v>467</v>
      </c>
      <c r="B14" s="119" t="s">
        <v>468</v>
      </c>
      <c r="C14" s="118" t="s">
        <v>15</v>
      </c>
      <c r="D14" s="118">
        <v>2008.0</v>
      </c>
      <c r="E14" s="118">
        <v>5.0</v>
      </c>
      <c r="F14" s="118">
        <v>10.5</v>
      </c>
      <c r="G14" s="118"/>
    </row>
    <row r="15">
      <c r="A15" s="117" t="s">
        <v>469</v>
      </c>
      <c r="B15" s="118" t="s">
        <v>470</v>
      </c>
      <c r="C15" s="118" t="s">
        <v>15</v>
      </c>
      <c r="D15" s="118">
        <v>2008.0</v>
      </c>
      <c r="E15" s="118">
        <v>5.0</v>
      </c>
      <c r="F15" s="118">
        <v>10.5</v>
      </c>
      <c r="G15" s="118"/>
    </row>
    <row r="16">
      <c r="A16" s="117" t="s">
        <v>471</v>
      </c>
      <c r="B16" s="119" t="s">
        <v>472</v>
      </c>
      <c r="C16" s="118" t="s">
        <v>15</v>
      </c>
      <c r="D16" s="118">
        <v>2008.0</v>
      </c>
      <c r="E16" s="118">
        <v>5.0</v>
      </c>
      <c r="F16" s="118">
        <v>10.5</v>
      </c>
      <c r="G16" s="118"/>
    </row>
    <row r="17">
      <c r="A17" s="117" t="s">
        <v>473</v>
      </c>
      <c r="B17" s="118" t="s">
        <v>474</v>
      </c>
      <c r="C17" s="118" t="s">
        <v>15</v>
      </c>
      <c r="D17" s="118">
        <v>2008.0</v>
      </c>
      <c r="E17" s="118">
        <v>5.0</v>
      </c>
      <c r="F17" s="118">
        <v>10.5</v>
      </c>
      <c r="G17" s="118"/>
    </row>
    <row r="18">
      <c r="A18" s="117" t="s">
        <v>475</v>
      </c>
      <c r="B18" s="118" t="s">
        <v>476</v>
      </c>
      <c r="C18" s="118" t="s">
        <v>15</v>
      </c>
      <c r="D18" s="118">
        <v>2008.0</v>
      </c>
      <c r="E18" s="118">
        <v>5.0</v>
      </c>
      <c r="F18" s="118">
        <v>10.5</v>
      </c>
      <c r="G18" s="118"/>
    </row>
    <row r="19">
      <c r="A19" s="120" t="s">
        <v>477</v>
      </c>
      <c r="B19" s="121" t="s">
        <v>478</v>
      </c>
      <c r="C19" s="119" t="s">
        <v>18</v>
      </c>
      <c r="D19" s="118">
        <v>2009.0</v>
      </c>
      <c r="E19" s="118">
        <v>6.0</v>
      </c>
      <c r="F19" s="118">
        <v>12.3</v>
      </c>
      <c r="G19" s="122"/>
    </row>
    <row r="20">
      <c r="A20" s="120" t="s">
        <v>479</v>
      </c>
      <c r="B20" s="121" t="s">
        <v>480</v>
      </c>
      <c r="C20" s="119" t="s">
        <v>18</v>
      </c>
      <c r="D20" s="118">
        <v>2009.0</v>
      </c>
      <c r="E20" s="118">
        <v>6.0</v>
      </c>
      <c r="F20" s="118">
        <v>12.3</v>
      </c>
    </row>
    <row r="21">
      <c r="A21" s="120" t="s">
        <v>481</v>
      </c>
      <c r="B21" s="121" t="s">
        <v>480</v>
      </c>
      <c r="C21" s="119" t="s">
        <v>18</v>
      </c>
      <c r="D21" s="118">
        <v>2009.0</v>
      </c>
      <c r="E21" s="118">
        <v>6.0</v>
      </c>
      <c r="F21" s="118">
        <v>12.3</v>
      </c>
    </row>
    <row r="22">
      <c r="A22" s="120" t="s">
        <v>482</v>
      </c>
      <c r="B22" s="121" t="s">
        <v>480</v>
      </c>
      <c r="C22" s="119" t="s">
        <v>18</v>
      </c>
      <c r="D22" s="118">
        <v>2009.0</v>
      </c>
      <c r="E22" s="118">
        <v>6.0</v>
      </c>
      <c r="F22" s="118">
        <v>12.3</v>
      </c>
    </row>
    <row r="23">
      <c r="A23" s="123" t="s">
        <v>483</v>
      </c>
      <c r="B23" s="121" t="s">
        <v>484</v>
      </c>
      <c r="C23" s="119" t="s">
        <v>18</v>
      </c>
      <c r="D23" s="118">
        <v>2009.0</v>
      </c>
      <c r="E23" s="118">
        <v>6.0</v>
      </c>
      <c r="F23" s="118">
        <v>12.3</v>
      </c>
    </row>
    <row r="24">
      <c r="A24" s="123" t="s">
        <v>485</v>
      </c>
      <c r="B24" s="121" t="s">
        <v>486</v>
      </c>
      <c r="C24" s="119" t="s">
        <v>18</v>
      </c>
      <c r="D24" s="118">
        <v>2009.0</v>
      </c>
      <c r="E24" s="118">
        <v>6.0</v>
      </c>
      <c r="F24" s="118">
        <v>12.3</v>
      </c>
    </row>
    <row r="25">
      <c r="A25" s="123" t="s">
        <v>487</v>
      </c>
      <c r="B25" s="121" t="s">
        <v>488</v>
      </c>
      <c r="C25" s="119" t="s">
        <v>18</v>
      </c>
      <c r="D25" s="118">
        <v>2009.0</v>
      </c>
      <c r="E25" s="118">
        <v>6.0</v>
      </c>
      <c r="F25" s="118">
        <v>12.3</v>
      </c>
    </row>
    <row r="26">
      <c r="A26" s="117" t="s">
        <v>489</v>
      </c>
      <c r="B26" s="118" t="s">
        <v>490</v>
      </c>
      <c r="C26" s="118" t="s">
        <v>28</v>
      </c>
      <c r="D26" s="1">
        <v>2017.0</v>
      </c>
      <c r="E26" s="1">
        <v>13.0</v>
      </c>
      <c r="F26" s="1">
        <v>15.5</v>
      </c>
    </row>
    <row r="27">
      <c r="A27" s="117" t="s">
        <v>491</v>
      </c>
      <c r="B27" s="118"/>
      <c r="C27" s="118" t="s">
        <v>28</v>
      </c>
      <c r="D27" s="1">
        <v>2017.0</v>
      </c>
      <c r="E27" s="1">
        <v>13.0</v>
      </c>
      <c r="F27" s="1">
        <v>15.5</v>
      </c>
    </row>
    <row r="28">
      <c r="A28" s="117" t="s">
        <v>492</v>
      </c>
      <c r="B28" s="118"/>
      <c r="C28" s="118" t="s">
        <v>28</v>
      </c>
      <c r="D28" s="1">
        <v>2017.0</v>
      </c>
      <c r="E28" s="1">
        <v>13.0</v>
      </c>
      <c r="F28" s="1">
        <v>15.5</v>
      </c>
    </row>
    <row r="29">
      <c r="A29" s="117" t="s">
        <v>493</v>
      </c>
      <c r="B29" s="118"/>
      <c r="C29" s="118" t="s">
        <v>28</v>
      </c>
      <c r="D29" s="1">
        <v>2017.0</v>
      </c>
      <c r="E29" s="1">
        <v>13.0</v>
      </c>
      <c r="F29" s="1">
        <v>15.5</v>
      </c>
    </row>
    <row r="30">
      <c r="A30" s="117" t="s">
        <v>494</v>
      </c>
      <c r="B30" s="118"/>
      <c r="C30" s="118" t="s">
        <v>28</v>
      </c>
      <c r="D30" s="1">
        <v>2017.0</v>
      </c>
      <c r="E30" s="1">
        <v>13.0</v>
      </c>
      <c r="F30" s="1">
        <v>15.5</v>
      </c>
    </row>
    <row r="31">
      <c r="A31" s="117" t="s">
        <v>495</v>
      </c>
      <c r="B31" s="118"/>
      <c r="C31" s="118" t="s">
        <v>28</v>
      </c>
      <c r="D31" s="1">
        <v>2017.0</v>
      </c>
      <c r="E31" s="1">
        <v>13.0</v>
      </c>
      <c r="F31" s="1">
        <v>15.5</v>
      </c>
    </row>
    <row r="32">
      <c r="A32" s="117" t="s">
        <v>496</v>
      </c>
      <c r="B32" s="118"/>
      <c r="C32" s="118" t="s">
        <v>28</v>
      </c>
      <c r="D32" s="1">
        <v>2017.0</v>
      </c>
      <c r="E32" s="1">
        <v>13.0</v>
      </c>
      <c r="F32" s="1">
        <v>15.5</v>
      </c>
    </row>
    <row r="33">
      <c r="A33" s="117" t="s">
        <v>497</v>
      </c>
      <c r="B33" s="118"/>
      <c r="C33" s="118" t="s">
        <v>28</v>
      </c>
      <c r="D33" s="1">
        <v>2017.0</v>
      </c>
      <c r="E33" s="1">
        <v>13.0</v>
      </c>
      <c r="F33" s="1">
        <v>15.5</v>
      </c>
    </row>
    <row r="34">
      <c r="A34" s="117" t="s">
        <v>498</v>
      </c>
      <c r="B34" s="118"/>
      <c r="C34" s="118" t="s">
        <v>28</v>
      </c>
      <c r="D34" s="1">
        <v>2017.0</v>
      </c>
      <c r="E34" s="1">
        <v>13.0</v>
      </c>
      <c r="F34" s="1">
        <v>15.5</v>
      </c>
    </row>
    <row r="35">
      <c r="A35" s="124" t="s">
        <v>499</v>
      </c>
      <c r="B35" s="118"/>
      <c r="C35" s="118" t="s">
        <v>28</v>
      </c>
      <c r="D35" s="1">
        <v>2017.0</v>
      </c>
      <c r="E35" s="1">
        <v>13.0</v>
      </c>
      <c r="F35" s="1">
        <v>15.5</v>
      </c>
    </row>
    <row r="36">
      <c r="A36" s="118" t="s">
        <v>500</v>
      </c>
      <c r="B36" s="118"/>
      <c r="C36" s="118" t="s">
        <v>28</v>
      </c>
      <c r="D36" s="1">
        <v>2017.0</v>
      </c>
      <c r="E36" s="1">
        <v>13.0</v>
      </c>
      <c r="F36" s="1">
        <v>15.5</v>
      </c>
    </row>
    <row r="37">
      <c r="A37" s="117" t="s">
        <v>501</v>
      </c>
      <c r="B37" s="118"/>
      <c r="C37" s="118" t="s">
        <v>28</v>
      </c>
      <c r="D37" s="1">
        <v>2017.0</v>
      </c>
      <c r="E37" s="1">
        <v>13.0</v>
      </c>
      <c r="F37" s="1">
        <v>15.5</v>
      </c>
    </row>
    <row r="38">
      <c r="A38" s="117" t="s">
        <v>502</v>
      </c>
      <c r="B38" s="118"/>
      <c r="C38" s="118" t="s">
        <v>28</v>
      </c>
      <c r="D38" s="1">
        <v>2017.0</v>
      </c>
      <c r="E38" s="1">
        <v>13.0</v>
      </c>
      <c r="F38" s="1">
        <v>15.5</v>
      </c>
    </row>
    <row r="39">
      <c r="A39" s="117" t="s">
        <v>503</v>
      </c>
      <c r="B39" s="118"/>
      <c r="C39" s="118" t="s">
        <v>28</v>
      </c>
      <c r="D39" s="1">
        <v>2017.0</v>
      </c>
      <c r="E39" s="1">
        <v>13.0</v>
      </c>
      <c r="F39" s="1">
        <v>15.5</v>
      </c>
    </row>
    <row r="40">
      <c r="A40" s="117" t="s">
        <v>483</v>
      </c>
      <c r="B40" s="118"/>
      <c r="C40" s="118" t="s">
        <v>28</v>
      </c>
      <c r="D40" s="1">
        <v>2017.0</v>
      </c>
      <c r="E40" s="1">
        <v>13.0</v>
      </c>
      <c r="F40" s="1">
        <v>15.5</v>
      </c>
    </row>
    <row r="41">
      <c r="A41" s="117" t="s">
        <v>504</v>
      </c>
      <c r="B41" s="118" t="s">
        <v>505</v>
      </c>
      <c r="C41" s="118" t="s">
        <v>28</v>
      </c>
      <c r="D41" s="1">
        <v>2017.0</v>
      </c>
      <c r="E41" s="1">
        <v>13.0</v>
      </c>
      <c r="F41" s="1">
        <v>15.5</v>
      </c>
    </row>
    <row r="42">
      <c r="A42" s="117" t="s">
        <v>506</v>
      </c>
      <c r="B42" s="118" t="s">
        <v>507</v>
      </c>
      <c r="C42" s="118" t="s">
        <v>28</v>
      </c>
      <c r="D42" s="1">
        <v>2017.0</v>
      </c>
      <c r="E42" s="1">
        <v>13.0</v>
      </c>
      <c r="F42" s="1">
        <v>15.5</v>
      </c>
    </row>
    <row r="43">
      <c r="A43" s="117" t="s">
        <v>508</v>
      </c>
      <c r="B43" s="118" t="s">
        <v>509</v>
      </c>
      <c r="C43" s="118" t="s">
        <v>28</v>
      </c>
      <c r="D43" s="1">
        <v>2017.0</v>
      </c>
      <c r="E43" s="1">
        <v>13.0</v>
      </c>
      <c r="F43" s="1">
        <v>15.5</v>
      </c>
    </row>
    <row r="44">
      <c r="A44" s="117" t="s">
        <v>510</v>
      </c>
      <c r="B44" s="118" t="s">
        <v>511</v>
      </c>
      <c r="C44" s="118" t="s">
        <v>28</v>
      </c>
      <c r="D44" s="1">
        <v>2017.0</v>
      </c>
      <c r="E44" s="1">
        <v>13.0</v>
      </c>
      <c r="F44" s="1">
        <v>15.5</v>
      </c>
    </row>
    <row r="45">
      <c r="A45" s="117" t="s">
        <v>512</v>
      </c>
      <c r="B45" s="118" t="s">
        <v>513</v>
      </c>
      <c r="C45" s="118" t="s">
        <v>28</v>
      </c>
      <c r="D45" s="1">
        <v>2017.0</v>
      </c>
      <c r="E45" s="1">
        <v>13.0</v>
      </c>
      <c r="F45" s="1">
        <v>15.5</v>
      </c>
    </row>
    <row r="46">
      <c r="A46" s="117" t="s">
        <v>514</v>
      </c>
      <c r="B46" s="118" t="s">
        <v>515</v>
      </c>
      <c r="C46" s="118" t="s">
        <v>28</v>
      </c>
      <c r="D46" s="1">
        <v>2017.0</v>
      </c>
      <c r="E46" s="1">
        <v>13.0</v>
      </c>
      <c r="F46" s="1">
        <v>15.5</v>
      </c>
    </row>
    <row r="47">
      <c r="A47" s="117" t="s">
        <v>516</v>
      </c>
      <c r="B47" s="118" t="s">
        <v>517</v>
      </c>
      <c r="C47" s="118" t="s">
        <v>28</v>
      </c>
      <c r="D47" s="1">
        <v>2017.0</v>
      </c>
      <c r="E47" s="1">
        <v>13.0</v>
      </c>
      <c r="F47" s="1">
        <v>15.5</v>
      </c>
    </row>
    <row r="48">
      <c r="A48" s="117" t="s">
        <v>518</v>
      </c>
      <c r="B48" s="118" t="s">
        <v>519</v>
      </c>
      <c r="C48" s="118" t="s">
        <v>28</v>
      </c>
      <c r="D48" s="1">
        <v>2017.0</v>
      </c>
      <c r="E48" s="1">
        <v>13.0</v>
      </c>
      <c r="F48" s="1">
        <v>15.5</v>
      </c>
    </row>
    <row r="49">
      <c r="A49" s="117" t="s">
        <v>520</v>
      </c>
      <c r="B49" s="118" t="s">
        <v>521</v>
      </c>
      <c r="C49" s="118" t="s">
        <v>28</v>
      </c>
      <c r="D49" s="1">
        <v>2017.0</v>
      </c>
      <c r="E49" s="1">
        <v>13.0</v>
      </c>
      <c r="F49" s="1">
        <v>15.5</v>
      </c>
    </row>
    <row r="50">
      <c r="A50" s="117" t="s">
        <v>522</v>
      </c>
      <c r="B50" s="118" t="s">
        <v>523</v>
      </c>
      <c r="C50" s="118" t="s">
        <v>28</v>
      </c>
      <c r="D50" s="1">
        <v>2017.0</v>
      </c>
      <c r="E50" s="1">
        <v>13.0</v>
      </c>
      <c r="F50" s="1">
        <v>15.5</v>
      </c>
    </row>
    <row r="51">
      <c r="A51" s="117" t="s">
        <v>524</v>
      </c>
      <c r="B51" s="118" t="s">
        <v>525</v>
      </c>
      <c r="C51" s="118" t="s">
        <v>28</v>
      </c>
      <c r="D51" s="1">
        <v>2017.0</v>
      </c>
      <c r="E51" s="1">
        <v>13.0</v>
      </c>
      <c r="F51" s="1">
        <v>15.5</v>
      </c>
    </row>
    <row r="52">
      <c r="A52" s="125" t="s">
        <v>526</v>
      </c>
      <c r="B52" s="118" t="s">
        <v>527</v>
      </c>
      <c r="C52" s="118" t="s">
        <v>28</v>
      </c>
      <c r="D52" s="1">
        <v>2017.0</v>
      </c>
      <c r="E52" s="1">
        <v>13.0</v>
      </c>
      <c r="F52" s="1">
        <v>15.5</v>
      </c>
    </row>
    <row r="53">
      <c r="A53" s="117" t="s">
        <v>528</v>
      </c>
      <c r="B53" s="118" t="s">
        <v>529</v>
      </c>
      <c r="C53" s="118" t="s">
        <v>28</v>
      </c>
      <c r="D53" s="1">
        <v>2017.0</v>
      </c>
      <c r="E53" s="1">
        <v>13.0</v>
      </c>
      <c r="F53" s="1">
        <v>15.5</v>
      </c>
    </row>
    <row r="54">
      <c r="A54" s="117" t="s">
        <v>530</v>
      </c>
      <c r="B54" s="118" t="s">
        <v>531</v>
      </c>
      <c r="C54" s="118" t="s">
        <v>28</v>
      </c>
      <c r="D54" s="1">
        <v>2017.0</v>
      </c>
      <c r="E54" s="1">
        <v>13.0</v>
      </c>
      <c r="F54" s="1">
        <v>15.5</v>
      </c>
    </row>
    <row r="55">
      <c r="A55" s="117" t="s">
        <v>532</v>
      </c>
      <c r="B55" s="118" t="s">
        <v>533</v>
      </c>
      <c r="C55" s="118" t="s">
        <v>28</v>
      </c>
      <c r="D55" s="1">
        <v>2017.0</v>
      </c>
      <c r="E55" s="1">
        <v>13.0</v>
      </c>
      <c r="F55" s="1">
        <v>15.5</v>
      </c>
    </row>
    <row r="56">
      <c r="A56" s="117" t="s">
        <v>534</v>
      </c>
      <c r="B56" s="118" t="s">
        <v>535</v>
      </c>
      <c r="C56" s="118" t="s">
        <v>28</v>
      </c>
      <c r="D56" s="1">
        <v>2017.0</v>
      </c>
      <c r="E56" s="1">
        <v>13.0</v>
      </c>
      <c r="F56" s="1">
        <v>15.5</v>
      </c>
    </row>
    <row r="57">
      <c r="A57" s="117" t="s">
        <v>536</v>
      </c>
      <c r="B57" s="118" t="s">
        <v>537</v>
      </c>
      <c r="C57" s="118" t="s">
        <v>28</v>
      </c>
      <c r="D57" s="1">
        <v>2017.0</v>
      </c>
      <c r="E57" s="1">
        <v>13.0</v>
      </c>
      <c r="F57" s="1">
        <v>15.5</v>
      </c>
    </row>
    <row r="58">
      <c r="A58" s="117" t="s">
        <v>538</v>
      </c>
      <c r="B58" s="118" t="s">
        <v>539</v>
      </c>
      <c r="C58" s="118" t="s">
        <v>28</v>
      </c>
      <c r="D58" s="1">
        <v>2017.0</v>
      </c>
      <c r="E58" s="1">
        <v>13.0</v>
      </c>
      <c r="F58" s="1">
        <v>15.5</v>
      </c>
    </row>
    <row r="59">
      <c r="A59" s="117" t="s">
        <v>540</v>
      </c>
      <c r="B59" s="118" t="s">
        <v>541</v>
      </c>
      <c r="C59" s="118" t="s">
        <v>28</v>
      </c>
      <c r="D59" s="1">
        <v>2017.0</v>
      </c>
      <c r="E59" s="1">
        <v>13.0</v>
      </c>
      <c r="F59" s="1">
        <v>15.5</v>
      </c>
    </row>
    <row r="60">
      <c r="A60" s="117" t="s">
        <v>542</v>
      </c>
      <c r="B60" s="118"/>
      <c r="C60" s="118" t="s">
        <v>28</v>
      </c>
      <c r="D60" s="1">
        <v>2017.0</v>
      </c>
      <c r="E60" s="1">
        <v>13.0</v>
      </c>
      <c r="F60" s="1">
        <v>15.5</v>
      </c>
    </row>
    <row r="61">
      <c r="A61" s="117" t="s">
        <v>543</v>
      </c>
      <c r="B61" s="118"/>
      <c r="C61" s="118" t="s">
        <v>28</v>
      </c>
      <c r="D61" s="1">
        <v>2017.0</v>
      </c>
      <c r="E61" s="1">
        <v>13.0</v>
      </c>
      <c r="F61" s="1">
        <v>15.5</v>
      </c>
    </row>
    <row r="62">
      <c r="A62" s="117" t="s">
        <v>544</v>
      </c>
      <c r="B62" s="118"/>
      <c r="C62" s="118" t="s">
        <v>28</v>
      </c>
      <c r="D62" s="1">
        <v>2017.0</v>
      </c>
      <c r="E62" s="1">
        <v>13.0</v>
      </c>
      <c r="F62" s="1">
        <v>15.5</v>
      </c>
    </row>
    <row r="63">
      <c r="A63" s="117" t="s">
        <v>545</v>
      </c>
      <c r="B63" s="118"/>
      <c r="C63" s="118" t="s">
        <v>28</v>
      </c>
      <c r="D63" s="1">
        <v>2017.0</v>
      </c>
      <c r="E63" s="1">
        <v>13.0</v>
      </c>
      <c r="F63" s="1">
        <v>15.5</v>
      </c>
    </row>
    <row r="64">
      <c r="A64" s="117" t="s">
        <v>546</v>
      </c>
      <c r="B64" s="118" t="s">
        <v>547</v>
      </c>
      <c r="C64" s="118" t="s">
        <v>25</v>
      </c>
      <c r="D64" s="119">
        <v>2016.0</v>
      </c>
      <c r="E64" s="1">
        <v>11.0</v>
      </c>
      <c r="F64" s="1">
        <v>14.5</v>
      </c>
    </row>
    <row r="65">
      <c r="A65" s="117" t="s">
        <v>548</v>
      </c>
      <c r="B65" s="118" t="s">
        <v>549</v>
      </c>
      <c r="C65" s="118" t="s">
        <v>25</v>
      </c>
      <c r="D65" s="119">
        <v>2016.0</v>
      </c>
      <c r="E65" s="1">
        <v>11.0</v>
      </c>
      <c r="F65" s="1">
        <v>14.5</v>
      </c>
    </row>
    <row r="66">
      <c r="A66" s="120" t="s">
        <v>550</v>
      </c>
      <c r="B66" s="121" t="s">
        <v>480</v>
      </c>
      <c r="C66" s="118" t="s">
        <v>25</v>
      </c>
      <c r="D66" s="119">
        <v>2016.0</v>
      </c>
      <c r="E66" s="1">
        <v>11.0</v>
      </c>
      <c r="F66" s="1">
        <v>14.5</v>
      </c>
    </row>
    <row r="67">
      <c r="A67" s="120" t="s">
        <v>551</v>
      </c>
      <c r="B67" s="121" t="s">
        <v>480</v>
      </c>
      <c r="C67" s="118" t="s">
        <v>25</v>
      </c>
      <c r="D67" s="119">
        <v>2016.0</v>
      </c>
      <c r="E67" s="1">
        <v>11.0</v>
      </c>
      <c r="F67" s="1">
        <v>14.5</v>
      </c>
    </row>
    <row r="68">
      <c r="A68" s="120" t="s">
        <v>552</v>
      </c>
      <c r="B68" s="121" t="s">
        <v>480</v>
      </c>
      <c r="C68" s="118" t="s">
        <v>25</v>
      </c>
      <c r="D68" s="119">
        <v>2016.0</v>
      </c>
      <c r="E68" s="1">
        <v>11.0</v>
      </c>
      <c r="F68" s="1">
        <v>14.5</v>
      </c>
    </row>
    <row r="69">
      <c r="A69" s="120" t="s">
        <v>553</v>
      </c>
      <c r="B69" s="121" t="s">
        <v>480</v>
      </c>
      <c r="C69" s="118" t="s">
        <v>25</v>
      </c>
      <c r="D69" s="119">
        <v>2016.0</v>
      </c>
      <c r="E69" s="1">
        <v>11.0</v>
      </c>
      <c r="F69" s="1">
        <v>14.5</v>
      </c>
    </row>
    <row r="70">
      <c r="A70" s="120" t="s">
        <v>554</v>
      </c>
      <c r="B70" s="121" t="s">
        <v>480</v>
      </c>
      <c r="C70" s="118" t="s">
        <v>25</v>
      </c>
      <c r="D70" s="119">
        <v>2016.0</v>
      </c>
      <c r="E70" s="1">
        <v>11.0</v>
      </c>
      <c r="F70" s="1">
        <v>14.5</v>
      </c>
    </row>
    <row r="71">
      <c r="A71" s="120" t="s">
        <v>555</v>
      </c>
      <c r="B71" s="121" t="s">
        <v>480</v>
      </c>
      <c r="C71" s="118" t="s">
        <v>25</v>
      </c>
      <c r="D71" s="119">
        <v>2016.0</v>
      </c>
      <c r="E71" s="1">
        <v>11.0</v>
      </c>
      <c r="F71" s="1">
        <v>14.5</v>
      </c>
    </row>
    <row r="72">
      <c r="A72" s="123" t="s">
        <v>556</v>
      </c>
      <c r="B72" s="121" t="s">
        <v>480</v>
      </c>
      <c r="C72" s="118" t="s">
        <v>25</v>
      </c>
      <c r="D72" s="119">
        <v>2016.0</v>
      </c>
      <c r="E72" s="1">
        <v>11.0</v>
      </c>
      <c r="F72" s="1">
        <v>14.5</v>
      </c>
    </row>
    <row r="73">
      <c r="A73" s="123" t="s">
        <v>557</v>
      </c>
      <c r="B73" s="121" t="s">
        <v>558</v>
      </c>
      <c r="C73" s="118" t="s">
        <v>25</v>
      </c>
      <c r="D73" s="119">
        <v>2016.0</v>
      </c>
      <c r="E73" s="1">
        <v>11.0</v>
      </c>
      <c r="F73" s="1">
        <v>14.5</v>
      </c>
    </row>
    <row r="74">
      <c r="A74" s="120" t="s">
        <v>559</v>
      </c>
      <c r="B74" s="121" t="s">
        <v>558</v>
      </c>
      <c r="C74" s="118" t="s">
        <v>25</v>
      </c>
      <c r="D74" s="119">
        <v>2016.0</v>
      </c>
      <c r="E74" s="1">
        <v>11.0</v>
      </c>
      <c r="F74" s="1">
        <v>14.5</v>
      </c>
    </row>
    <row r="75">
      <c r="A75" s="120" t="s">
        <v>560</v>
      </c>
      <c r="B75" s="121" t="s">
        <v>558</v>
      </c>
      <c r="C75" s="118" t="s">
        <v>25</v>
      </c>
      <c r="D75" s="119">
        <v>2016.0</v>
      </c>
      <c r="E75" s="1">
        <v>11.0</v>
      </c>
      <c r="F75" s="1">
        <v>14.5</v>
      </c>
    </row>
    <row r="76">
      <c r="A76" s="123" t="s">
        <v>561</v>
      </c>
      <c r="B76" s="121" t="s">
        <v>558</v>
      </c>
      <c r="C76" s="118" t="s">
        <v>25</v>
      </c>
      <c r="D76" s="119">
        <v>2016.0</v>
      </c>
      <c r="E76" s="1">
        <v>11.0</v>
      </c>
      <c r="F76" s="1">
        <v>14.5</v>
      </c>
    </row>
    <row r="77">
      <c r="A77" s="123" t="s">
        <v>562</v>
      </c>
      <c r="B77" s="121" t="s">
        <v>558</v>
      </c>
      <c r="C77" s="118" t="s">
        <v>25</v>
      </c>
      <c r="D77" s="119">
        <v>2016.0</v>
      </c>
      <c r="E77" s="1">
        <v>11.0</v>
      </c>
      <c r="F77" s="1">
        <v>14.5</v>
      </c>
    </row>
    <row r="78">
      <c r="A78" s="120" t="s">
        <v>563</v>
      </c>
      <c r="B78" s="121" t="s">
        <v>564</v>
      </c>
      <c r="C78" s="118" t="s">
        <v>25</v>
      </c>
      <c r="D78" s="119">
        <v>2016.0</v>
      </c>
      <c r="E78" s="1">
        <v>11.0</v>
      </c>
      <c r="F78" s="1">
        <v>14.5</v>
      </c>
    </row>
    <row r="79">
      <c r="A79" s="120" t="s">
        <v>565</v>
      </c>
      <c r="B79" s="121" t="s">
        <v>566</v>
      </c>
      <c r="C79" s="118" t="s">
        <v>25</v>
      </c>
      <c r="D79" s="119">
        <v>2016.0</v>
      </c>
      <c r="E79" s="1">
        <v>11.0</v>
      </c>
      <c r="F79" s="1">
        <v>14.5</v>
      </c>
    </row>
    <row r="80">
      <c r="A80" s="123" t="s">
        <v>567</v>
      </c>
      <c r="B80" s="121" t="s">
        <v>568</v>
      </c>
      <c r="C80" s="118" t="s">
        <v>25</v>
      </c>
      <c r="D80" s="119">
        <v>2016.0</v>
      </c>
      <c r="E80" s="1">
        <v>11.0</v>
      </c>
      <c r="F80" s="1">
        <v>14.5</v>
      </c>
    </row>
    <row r="81">
      <c r="A81" s="123" t="s">
        <v>569</v>
      </c>
      <c r="B81" s="121" t="s">
        <v>570</v>
      </c>
      <c r="C81" s="118" t="s">
        <v>25</v>
      </c>
      <c r="D81" s="119">
        <v>2016.0</v>
      </c>
      <c r="E81" s="1">
        <v>11.0</v>
      </c>
      <c r="F81" s="1">
        <v>14.5</v>
      </c>
    </row>
    <row r="82">
      <c r="A82" s="120" t="s">
        <v>10</v>
      </c>
      <c r="B82" s="121" t="s">
        <v>571</v>
      </c>
      <c r="C82" s="1" t="s">
        <v>10</v>
      </c>
      <c r="D82" s="121">
        <v>2004.0</v>
      </c>
      <c r="E82" s="1">
        <v>3.0</v>
      </c>
      <c r="F82" s="1">
        <v>7.5</v>
      </c>
    </row>
    <row r="83">
      <c r="A83" s="123" t="s">
        <v>572</v>
      </c>
      <c r="B83" s="121" t="s">
        <v>573</v>
      </c>
      <c r="C83" s="1" t="s">
        <v>10</v>
      </c>
      <c r="D83" s="121">
        <v>2004.0</v>
      </c>
      <c r="E83" s="1">
        <v>3.0</v>
      </c>
      <c r="F83" s="1">
        <v>7.5</v>
      </c>
    </row>
    <row r="84">
      <c r="A84" s="123" t="s">
        <v>574</v>
      </c>
      <c r="B84" s="121" t="s">
        <v>575</v>
      </c>
      <c r="C84" s="1" t="s">
        <v>10</v>
      </c>
      <c r="D84" s="121">
        <v>2004.0</v>
      </c>
      <c r="E84" s="1">
        <v>3.0</v>
      </c>
      <c r="F84" s="1">
        <v>7.5</v>
      </c>
    </row>
    <row r="85">
      <c r="A85" s="123" t="s">
        <v>576</v>
      </c>
      <c r="B85" s="121" t="s">
        <v>577</v>
      </c>
      <c r="C85" s="1" t="s">
        <v>10</v>
      </c>
      <c r="D85" s="121">
        <v>2004.0</v>
      </c>
      <c r="E85" s="1">
        <v>3.0</v>
      </c>
      <c r="F85" s="1">
        <v>7.5</v>
      </c>
    </row>
    <row r="86">
      <c r="A86" s="120" t="s">
        <v>578</v>
      </c>
      <c r="B86" s="121" t="s">
        <v>579</v>
      </c>
      <c r="C86" s="1" t="s">
        <v>10</v>
      </c>
      <c r="D86" s="121">
        <v>2004.0</v>
      </c>
      <c r="E86" s="1">
        <v>3.0</v>
      </c>
      <c r="F86" s="1">
        <v>7.5</v>
      </c>
    </row>
    <row r="87">
      <c r="A87" s="123" t="s">
        <v>580</v>
      </c>
      <c r="B87" s="121" t="s">
        <v>581</v>
      </c>
      <c r="C87" s="1" t="s">
        <v>10</v>
      </c>
      <c r="D87" s="121">
        <v>2004.0</v>
      </c>
      <c r="E87" s="1">
        <v>3.0</v>
      </c>
      <c r="F87" s="1">
        <v>7.5</v>
      </c>
    </row>
    <row r="88">
      <c r="A88" s="120" t="s">
        <v>582</v>
      </c>
      <c r="B88" s="121" t="s">
        <v>480</v>
      </c>
      <c r="C88" s="1" t="s">
        <v>10</v>
      </c>
      <c r="D88" s="121">
        <v>2004.0</v>
      </c>
      <c r="E88" s="1">
        <v>3.0</v>
      </c>
      <c r="F88" s="1">
        <v>7.5</v>
      </c>
    </row>
    <row r="89">
      <c r="A89" s="123" t="s">
        <v>583</v>
      </c>
      <c r="B89" s="121" t="s">
        <v>584</v>
      </c>
      <c r="C89" s="1" t="s">
        <v>10</v>
      </c>
      <c r="D89" s="121">
        <v>2004.0</v>
      </c>
      <c r="E89" s="1">
        <v>3.0</v>
      </c>
      <c r="F89" s="1">
        <v>7.5</v>
      </c>
    </row>
    <row r="90">
      <c r="A90" s="123" t="s">
        <v>585</v>
      </c>
      <c r="B90" s="121" t="s">
        <v>586</v>
      </c>
      <c r="C90" s="1" t="s">
        <v>10</v>
      </c>
      <c r="D90" s="121">
        <v>2004.0</v>
      </c>
      <c r="E90" s="1">
        <v>3.0</v>
      </c>
      <c r="F90" s="1">
        <v>7.5</v>
      </c>
    </row>
    <row r="91">
      <c r="A91" s="120" t="s">
        <v>587</v>
      </c>
      <c r="B91" s="121" t="s">
        <v>588</v>
      </c>
      <c r="C91" s="1" t="s">
        <v>10</v>
      </c>
      <c r="D91" s="121">
        <v>2004.0</v>
      </c>
      <c r="E91" s="1">
        <v>3.0</v>
      </c>
      <c r="F91" s="1">
        <v>7.5</v>
      </c>
    </row>
    <row r="92">
      <c r="A92" s="120" t="s">
        <v>589</v>
      </c>
      <c r="B92" s="121" t="s">
        <v>590</v>
      </c>
      <c r="C92" s="1" t="s">
        <v>10</v>
      </c>
      <c r="D92" s="121">
        <v>2004.0</v>
      </c>
      <c r="E92" s="1">
        <v>3.0</v>
      </c>
      <c r="F92" s="1">
        <v>7.5</v>
      </c>
    </row>
    <row r="93">
      <c r="A93" s="120" t="s">
        <v>591</v>
      </c>
      <c r="B93" s="121" t="s">
        <v>592</v>
      </c>
      <c r="C93" s="1" t="s">
        <v>10</v>
      </c>
      <c r="D93" s="121">
        <v>2004.0</v>
      </c>
      <c r="E93" s="1">
        <v>3.0</v>
      </c>
      <c r="F93" s="1">
        <v>7.5</v>
      </c>
    </row>
    <row r="94">
      <c r="A94" s="120" t="s">
        <v>593</v>
      </c>
      <c r="B94" s="121" t="s">
        <v>594</v>
      </c>
      <c r="C94" s="1" t="s">
        <v>10</v>
      </c>
      <c r="D94" s="121">
        <v>2004.0</v>
      </c>
      <c r="E94" s="1">
        <v>3.0</v>
      </c>
      <c r="F94" s="1">
        <v>7.5</v>
      </c>
    </row>
    <row r="95">
      <c r="A95" s="120" t="s">
        <v>595</v>
      </c>
      <c r="B95" s="121" t="s">
        <v>480</v>
      </c>
      <c r="C95" s="1" t="s">
        <v>10</v>
      </c>
      <c r="D95" s="121">
        <v>2004.0</v>
      </c>
      <c r="E95" s="1">
        <v>3.0</v>
      </c>
      <c r="F95" s="1">
        <v>7.5</v>
      </c>
    </row>
    <row r="96">
      <c r="A96" s="120" t="s">
        <v>596</v>
      </c>
      <c r="B96" s="121" t="s">
        <v>597</v>
      </c>
      <c r="C96" s="1" t="s">
        <v>10</v>
      </c>
      <c r="D96" s="121">
        <v>2004.0</v>
      </c>
      <c r="E96" s="1">
        <v>3.0</v>
      </c>
      <c r="F96" s="1">
        <v>7.5</v>
      </c>
    </row>
    <row r="97">
      <c r="A97" s="120" t="s">
        <v>598</v>
      </c>
      <c r="B97" s="121" t="s">
        <v>480</v>
      </c>
      <c r="C97" s="1" t="s">
        <v>10</v>
      </c>
      <c r="D97" s="121">
        <v>2004.0</v>
      </c>
      <c r="E97" s="1">
        <v>3.0</v>
      </c>
      <c r="F97" s="1">
        <v>7.5</v>
      </c>
    </row>
    <row r="98">
      <c r="A98" s="120" t="s">
        <v>599</v>
      </c>
      <c r="B98" s="121" t="s">
        <v>600</v>
      </c>
      <c r="C98" s="1" t="s">
        <v>10</v>
      </c>
      <c r="D98" s="121">
        <v>2004.0</v>
      </c>
      <c r="E98" s="1">
        <v>3.0</v>
      </c>
      <c r="F98" s="1">
        <v>7.5</v>
      </c>
    </row>
    <row r="99">
      <c r="A99" s="123" t="s">
        <v>601</v>
      </c>
      <c r="B99" s="121" t="s">
        <v>602</v>
      </c>
      <c r="C99" s="1" t="s">
        <v>10</v>
      </c>
      <c r="D99" s="121">
        <v>2004.0</v>
      </c>
      <c r="E99" s="1">
        <v>3.0</v>
      </c>
      <c r="F99" s="1">
        <v>7.5</v>
      </c>
    </row>
    <row r="100">
      <c r="A100" s="120" t="s">
        <v>603</v>
      </c>
      <c r="B100" s="121" t="s">
        <v>604</v>
      </c>
      <c r="C100" s="1" t="s">
        <v>10</v>
      </c>
      <c r="D100" s="121">
        <v>2004.0</v>
      </c>
      <c r="E100" s="1">
        <v>3.0</v>
      </c>
      <c r="F100" s="1">
        <v>7.5</v>
      </c>
    </row>
    <row r="101">
      <c r="A101" s="123" t="s">
        <v>605</v>
      </c>
      <c r="B101" s="121" t="s">
        <v>606</v>
      </c>
      <c r="C101" s="1" t="s">
        <v>10</v>
      </c>
      <c r="D101" s="121">
        <v>2004.0</v>
      </c>
      <c r="E101" s="1">
        <v>3.0</v>
      </c>
      <c r="F101" s="1">
        <v>7.5</v>
      </c>
    </row>
    <row r="102">
      <c r="A102" s="124" t="s">
        <v>607</v>
      </c>
      <c r="B102" s="126" t="s">
        <v>608</v>
      </c>
      <c r="C102" s="126" t="s">
        <v>22</v>
      </c>
      <c r="D102" s="126">
        <v>2013.0</v>
      </c>
      <c r="E102" s="1">
        <v>9.0</v>
      </c>
      <c r="F102" s="1">
        <v>13.5</v>
      </c>
    </row>
    <row r="103">
      <c r="A103" s="117" t="s">
        <v>609</v>
      </c>
      <c r="B103" s="118" t="s">
        <v>610</v>
      </c>
      <c r="C103" s="126" t="s">
        <v>22</v>
      </c>
      <c r="D103" s="126">
        <v>2013.0</v>
      </c>
      <c r="E103" s="1">
        <v>9.0</v>
      </c>
      <c r="F103" s="1">
        <v>13.5</v>
      </c>
    </row>
    <row r="104">
      <c r="A104" s="127" t="s">
        <v>611</v>
      </c>
      <c r="B104" s="121" t="s">
        <v>612</v>
      </c>
      <c r="C104" s="126" t="s">
        <v>22</v>
      </c>
      <c r="D104" s="126">
        <v>2013.0</v>
      </c>
      <c r="E104" s="1">
        <v>9.0</v>
      </c>
      <c r="F104" s="1">
        <v>13.5</v>
      </c>
    </row>
    <row r="105">
      <c r="A105" s="117" t="s">
        <v>613</v>
      </c>
      <c r="B105" s="118" t="s">
        <v>614</v>
      </c>
      <c r="C105" s="126" t="s">
        <v>22</v>
      </c>
      <c r="D105" s="126">
        <v>2013.0</v>
      </c>
      <c r="E105" s="1">
        <v>9.0</v>
      </c>
      <c r="F105" s="1">
        <v>13.5</v>
      </c>
    </row>
    <row r="106">
      <c r="A106" s="120" t="s">
        <v>615</v>
      </c>
      <c r="B106" s="121" t="s">
        <v>478</v>
      </c>
      <c r="C106" s="126" t="s">
        <v>22</v>
      </c>
      <c r="D106" s="126">
        <v>2013.0</v>
      </c>
      <c r="E106" s="1">
        <v>9.0</v>
      </c>
      <c r="F106" s="1">
        <v>13.5</v>
      </c>
    </row>
    <row r="107">
      <c r="A107" s="127" t="s">
        <v>616</v>
      </c>
      <c r="B107" s="121" t="s">
        <v>480</v>
      </c>
      <c r="C107" s="126" t="s">
        <v>22</v>
      </c>
      <c r="D107" s="126">
        <v>2013.0</v>
      </c>
      <c r="E107" s="1">
        <v>9.0</v>
      </c>
      <c r="F107" s="1">
        <v>13.5</v>
      </c>
    </row>
    <row r="108">
      <c r="A108" s="127" t="s">
        <v>617</v>
      </c>
      <c r="B108" s="121" t="s">
        <v>480</v>
      </c>
      <c r="C108" s="126" t="s">
        <v>22</v>
      </c>
      <c r="D108" s="126">
        <v>2013.0</v>
      </c>
      <c r="E108" s="1">
        <v>9.0</v>
      </c>
      <c r="F108" s="1">
        <v>13.5</v>
      </c>
    </row>
    <row r="109">
      <c r="A109" s="120" t="s">
        <v>618</v>
      </c>
      <c r="B109" s="121" t="s">
        <v>619</v>
      </c>
      <c r="C109" s="126" t="s">
        <v>22</v>
      </c>
      <c r="D109" s="126">
        <v>2013.0</v>
      </c>
      <c r="E109" s="1">
        <v>9.0</v>
      </c>
      <c r="F109" s="1">
        <v>13.5</v>
      </c>
    </row>
    <row r="110">
      <c r="A110" s="120" t="s">
        <v>620</v>
      </c>
      <c r="B110" s="121" t="s">
        <v>621</v>
      </c>
      <c r="C110" s="126" t="s">
        <v>22</v>
      </c>
      <c r="D110" s="126">
        <v>2013.0</v>
      </c>
      <c r="E110" s="1">
        <v>9.0</v>
      </c>
      <c r="F110" s="1">
        <v>13.5</v>
      </c>
    </row>
    <row r="111">
      <c r="A111" s="120" t="s">
        <v>622</v>
      </c>
      <c r="B111" s="121" t="s">
        <v>623</v>
      </c>
      <c r="C111" s="126" t="s">
        <v>22</v>
      </c>
      <c r="D111" s="126">
        <v>2013.0</v>
      </c>
      <c r="E111" s="1">
        <v>9.0</v>
      </c>
      <c r="F111" s="1">
        <v>13.5</v>
      </c>
    </row>
    <row r="112">
      <c r="A112" s="120" t="s">
        <v>624</v>
      </c>
      <c r="B112" s="121" t="s">
        <v>484</v>
      </c>
      <c r="C112" s="126" t="s">
        <v>22</v>
      </c>
      <c r="D112" s="126">
        <v>2013.0</v>
      </c>
      <c r="E112" s="1">
        <v>9.0</v>
      </c>
      <c r="F112" s="1">
        <v>13.5</v>
      </c>
    </row>
    <row r="113">
      <c r="A113" s="121" t="s">
        <v>625</v>
      </c>
      <c r="B113" s="121"/>
      <c r="C113" s="126" t="s">
        <v>22</v>
      </c>
      <c r="D113" s="126">
        <v>2013.0</v>
      </c>
      <c r="E113" s="1">
        <v>9.0</v>
      </c>
      <c r="F113" s="1">
        <v>13.5</v>
      </c>
    </row>
    <row r="114">
      <c r="A114" s="120" t="s">
        <v>626</v>
      </c>
      <c r="B114" s="121" t="s">
        <v>627</v>
      </c>
      <c r="C114" s="126" t="s">
        <v>22</v>
      </c>
      <c r="D114" s="126">
        <v>2013.0</v>
      </c>
      <c r="E114" s="1">
        <v>9.0</v>
      </c>
      <c r="F114" s="1">
        <v>13.5</v>
      </c>
    </row>
    <row r="115">
      <c r="A115" s="120" t="s">
        <v>628</v>
      </c>
      <c r="B115" s="121" t="s">
        <v>612</v>
      </c>
      <c r="C115" s="126" t="s">
        <v>22</v>
      </c>
      <c r="D115" s="126">
        <v>2013.0</v>
      </c>
      <c r="E115" s="1">
        <v>9.0</v>
      </c>
      <c r="F115" s="1">
        <v>13.5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5"/>
    <hyperlink r:id="rId103" ref="A106"/>
    <hyperlink r:id="rId104" ref="A109"/>
    <hyperlink r:id="rId105" ref="A110"/>
    <hyperlink r:id="rId106" ref="A111"/>
    <hyperlink r:id="rId107" ref="A112"/>
    <hyperlink r:id="rId108" ref="A114"/>
    <hyperlink r:id="rId109" ref="A115"/>
  </hyperlinks>
  <drawing r:id="rId110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10" width="7.13"/>
  </cols>
  <sheetData>
    <row r="1">
      <c r="A1" s="1" t="s">
        <v>629</v>
      </c>
      <c r="B1" s="1">
        <v>18.0</v>
      </c>
      <c r="C1" s="1">
        <v>17.0</v>
      </c>
      <c r="D1" s="1">
        <v>16.0</v>
      </c>
      <c r="E1" s="1">
        <v>15.0</v>
      </c>
      <c r="F1" s="1">
        <v>14.0</v>
      </c>
      <c r="G1" s="1">
        <v>13.0</v>
      </c>
      <c r="H1" s="1">
        <v>12.0</v>
      </c>
      <c r="I1" s="1">
        <v>11.0</v>
      </c>
      <c r="J1" s="1">
        <v>10.0</v>
      </c>
    </row>
    <row r="2">
      <c r="A2" s="111" t="s">
        <v>630</v>
      </c>
      <c r="B2" s="111">
        <v>81.0</v>
      </c>
      <c r="C2" s="97">
        <v>68.0</v>
      </c>
      <c r="D2" s="111">
        <v>63.0</v>
      </c>
      <c r="E2" s="111">
        <v>58.0</v>
      </c>
      <c r="F2" s="99">
        <v>73.0</v>
      </c>
      <c r="G2" s="99">
        <v>107.0</v>
      </c>
      <c r="H2" s="99">
        <v>119.0</v>
      </c>
      <c r="I2" s="1">
        <v>50.0</v>
      </c>
      <c r="J2" s="128">
        <v>101.0</v>
      </c>
      <c r="K2" s="129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</row>
    <row r="3">
      <c r="A3" s="111" t="s">
        <v>631</v>
      </c>
      <c r="B3" s="111">
        <v>156.0</v>
      </c>
      <c r="C3" s="97">
        <v>119.0</v>
      </c>
      <c r="D3" s="111">
        <v>133.0</v>
      </c>
      <c r="E3" s="111">
        <v>88.0</v>
      </c>
      <c r="F3" s="99">
        <v>155.0</v>
      </c>
      <c r="G3" s="99">
        <v>178.0</v>
      </c>
      <c r="H3" s="99">
        <v>199.0</v>
      </c>
      <c r="I3" s="1">
        <v>95.0</v>
      </c>
      <c r="J3" s="131">
        <v>89.0</v>
      </c>
      <c r="K3" s="129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</row>
    <row r="4">
      <c r="A4" s="111" t="s">
        <v>632</v>
      </c>
      <c r="B4" s="111">
        <v>413.0</v>
      </c>
      <c r="C4" s="97">
        <v>316.0</v>
      </c>
      <c r="D4" s="111">
        <v>463.0</v>
      </c>
      <c r="E4" s="111">
        <v>373.0</v>
      </c>
      <c r="F4" s="99">
        <v>489.0</v>
      </c>
      <c r="G4" s="99">
        <v>685.0</v>
      </c>
      <c r="H4" s="99">
        <v>729.0</v>
      </c>
      <c r="I4" s="1">
        <v>469.0</v>
      </c>
      <c r="J4" s="131">
        <v>622.0</v>
      </c>
      <c r="K4" s="129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</row>
    <row r="5">
      <c r="A5" s="111" t="s">
        <v>633</v>
      </c>
      <c r="B5" s="111">
        <v>199.0</v>
      </c>
      <c r="C5" s="97">
        <v>215.0</v>
      </c>
      <c r="D5" s="111">
        <v>253.0</v>
      </c>
      <c r="E5" s="111">
        <v>283.0</v>
      </c>
      <c r="F5" s="99">
        <v>354.0</v>
      </c>
      <c r="G5" s="99">
        <v>469.0</v>
      </c>
      <c r="H5" s="99">
        <v>570.0</v>
      </c>
      <c r="I5" s="1">
        <v>362.0</v>
      </c>
      <c r="J5" s="131">
        <v>561.0</v>
      </c>
      <c r="K5" s="129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</row>
    <row r="6">
      <c r="A6" s="111" t="s">
        <v>634</v>
      </c>
      <c r="B6" s="111">
        <v>139.0</v>
      </c>
      <c r="C6" s="97">
        <v>124.0</v>
      </c>
      <c r="D6" s="111">
        <v>199.0</v>
      </c>
      <c r="E6" s="111">
        <v>221.0</v>
      </c>
      <c r="F6" s="99">
        <v>292.0</v>
      </c>
      <c r="G6" s="99">
        <v>353.0</v>
      </c>
      <c r="H6" s="99">
        <v>436.0</v>
      </c>
      <c r="I6" s="1">
        <v>292.0</v>
      </c>
      <c r="J6" s="131">
        <v>495.0</v>
      </c>
      <c r="K6" s="129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</row>
    <row r="7">
      <c r="A7" s="111" t="s">
        <v>635</v>
      </c>
      <c r="B7" s="111">
        <v>102.0</v>
      </c>
      <c r="C7" s="97">
        <v>88.0</v>
      </c>
      <c r="D7" s="111">
        <v>152.0</v>
      </c>
      <c r="E7" s="111">
        <v>140.0</v>
      </c>
      <c r="F7" s="99">
        <v>161.0</v>
      </c>
      <c r="G7" s="99">
        <v>235.0</v>
      </c>
      <c r="H7" s="99">
        <v>303.0</v>
      </c>
      <c r="I7" s="1">
        <v>215.0</v>
      </c>
      <c r="J7" s="131">
        <v>323.0</v>
      </c>
      <c r="K7" s="129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</row>
    <row r="8">
      <c r="A8" s="111" t="s">
        <v>636</v>
      </c>
      <c r="B8" s="111">
        <v>78.0</v>
      </c>
      <c r="C8" s="97">
        <v>92.0</v>
      </c>
      <c r="D8" s="111">
        <v>148.0</v>
      </c>
      <c r="E8" s="111">
        <v>134.0</v>
      </c>
      <c r="F8" s="99">
        <v>174.0</v>
      </c>
      <c r="G8" s="99">
        <v>234.0</v>
      </c>
      <c r="H8" s="99">
        <v>294.0</v>
      </c>
      <c r="I8" s="1">
        <v>177.0</v>
      </c>
      <c r="J8" s="131">
        <v>316.0</v>
      </c>
      <c r="K8" s="129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</row>
    <row r="9">
      <c r="A9" s="111" t="s">
        <v>637</v>
      </c>
      <c r="B9" s="111">
        <v>115.0</v>
      </c>
      <c r="C9" s="97">
        <v>117.0</v>
      </c>
      <c r="D9" s="111">
        <v>149.0</v>
      </c>
      <c r="E9" s="111">
        <v>169.0</v>
      </c>
      <c r="F9" s="99">
        <v>242.0</v>
      </c>
      <c r="G9" s="99">
        <v>327.0</v>
      </c>
      <c r="H9" s="99">
        <v>366.0</v>
      </c>
      <c r="I9" s="1">
        <v>250.0</v>
      </c>
      <c r="J9" s="131">
        <v>343.0</v>
      </c>
      <c r="K9" s="129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</row>
    <row r="10">
      <c r="A10" s="111" t="s">
        <v>638</v>
      </c>
      <c r="B10" s="111">
        <v>406.0</v>
      </c>
      <c r="C10" s="97">
        <v>403.0</v>
      </c>
      <c r="D10" s="111">
        <v>545.0</v>
      </c>
      <c r="E10" s="111">
        <v>562.0</v>
      </c>
      <c r="F10" s="99">
        <v>797.0</v>
      </c>
      <c r="G10" s="99">
        <v>1019.0</v>
      </c>
      <c r="H10" s="99">
        <v>1218.0</v>
      </c>
      <c r="I10" s="1">
        <v>910.0</v>
      </c>
      <c r="J10" s="131">
        <v>1144.0</v>
      </c>
      <c r="K10" s="129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</row>
    <row r="11">
      <c r="A11" s="111" t="s">
        <v>639</v>
      </c>
      <c r="B11" s="111">
        <v>827.0</v>
      </c>
      <c r="C11" s="97">
        <v>794.0</v>
      </c>
      <c r="D11" s="132">
        <v>1197.0</v>
      </c>
      <c r="E11" s="111">
        <v>1130.0</v>
      </c>
      <c r="F11" s="99">
        <v>1600.0</v>
      </c>
      <c r="G11" s="99">
        <v>2066.0</v>
      </c>
      <c r="H11" s="99">
        <v>2387.0</v>
      </c>
      <c r="I11" s="1">
        <v>1571.0</v>
      </c>
      <c r="J11" s="131">
        <v>2670.0</v>
      </c>
      <c r="K11" s="129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</row>
    <row r="12">
      <c r="A12" s="111" t="s">
        <v>640</v>
      </c>
      <c r="B12" s="111">
        <v>660.0</v>
      </c>
      <c r="C12" s="97">
        <v>647.0</v>
      </c>
      <c r="D12" s="111">
        <v>968.0</v>
      </c>
      <c r="E12" s="111">
        <v>886.0</v>
      </c>
      <c r="F12" s="99">
        <v>1139.0</v>
      </c>
      <c r="G12" s="99">
        <v>1450.0</v>
      </c>
      <c r="H12" s="99">
        <v>1779.0</v>
      </c>
      <c r="I12" s="1">
        <v>1182.0</v>
      </c>
      <c r="J12" s="131">
        <v>2008.0</v>
      </c>
      <c r="K12" s="129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</row>
    <row r="13">
      <c r="A13" s="111" t="s">
        <v>641</v>
      </c>
      <c r="B13" s="111">
        <v>611.0</v>
      </c>
      <c r="C13" s="97">
        <v>587.0</v>
      </c>
      <c r="D13" s="111">
        <v>765.0</v>
      </c>
      <c r="E13" s="111">
        <v>655.0</v>
      </c>
      <c r="F13" s="99">
        <v>989.0</v>
      </c>
      <c r="G13" s="99">
        <v>1162.0</v>
      </c>
      <c r="H13" s="99">
        <v>1483.0</v>
      </c>
      <c r="I13" s="1">
        <v>893.0</v>
      </c>
      <c r="J13" s="131">
        <v>1694.0</v>
      </c>
      <c r="K13" s="129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</row>
    <row r="14">
      <c r="A14" s="111" t="s">
        <v>642</v>
      </c>
      <c r="B14" s="111">
        <v>652.0</v>
      </c>
      <c r="C14" s="97">
        <v>582.0</v>
      </c>
      <c r="D14" s="111">
        <v>723.0</v>
      </c>
      <c r="E14" s="111">
        <v>636.0</v>
      </c>
      <c r="F14" s="99">
        <v>910.0</v>
      </c>
      <c r="G14" s="99">
        <v>1123.0</v>
      </c>
      <c r="H14" s="99">
        <v>1383.0</v>
      </c>
      <c r="I14" s="1">
        <v>849.0</v>
      </c>
      <c r="J14" s="131">
        <v>1699.0</v>
      </c>
      <c r="K14" s="129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</row>
    <row r="15">
      <c r="A15" s="111" t="s">
        <v>643</v>
      </c>
      <c r="B15" s="111">
        <v>837.0</v>
      </c>
      <c r="C15" s="97">
        <v>681.0</v>
      </c>
      <c r="D15" s="132">
        <v>1010.0</v>
      </c>
      <c r="E15" s="111">
        <v>818.0</v>
      </c>
      <c r="F15" s="99">
        <v>1204.0</v>
      </c>
      <c r="G15" s="99">
        <v>1459.0</v>
      </c>
      <c r="H15" s="99">
        <v>1807.0</v>
      </c>
      <c r="I15" s="1">
        <v>1022.0</v>
      </c>
      <c r="J15" s="131">
        <v>2796.0</v>
      </c>
      <c r="K15" s="129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</row>
    <row r="16">
      <c r="A16" s="111" t="s">
        <v>644</v>
      </c>
      <c r="B16" s="111">
        <v>857.0</v>
      </c>
      <c r="C16" s="97">
        <v>772.0</v>
      </c>
      <c r="D16" s="132">
        <v>1102.0</v>
      </c>
      <c r="E16" s="111">
        <v>891.0</v>
      </c>
      <c r="F16" s="99">
        <v>1164.0</v>
      </c>
      <c r="G16" s="99">
        <v>1531.0</v>
      </c>
      <c r="H16" s="99">
        <v>1926.0</v>
      </c>
      <c r="I16" s="1">
        <v>1013.0</v>
      </c>
      <c r="J16" s="131">
        <v>510.0</v>
      </c>
      <c r="K16" s="129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</row>
    <row r="17">
      <c r="A17" s="111" t="s">
        <v>645</v>
      </c>
      <c r="B17" s="132">
        <v>1082.0</v>
      </c>
      <c r="C17" s="97">
        <v>954.0</v>
      </c>
      <c r="D17" s="132">
        <v>1294.0</v>
      </c>
      <c r="E17" s="111">
        <v>994.0</v>
      </c>
      <c r="F17" s="99">
        <v>1398.0</v>
      </c>
      <c r="G17" s="99">
        <v>1663.0</v>
      </c>
      <c r="H17" s="99">
        <v>1780.0</v>
      </c>
      <c r="I17" s="1">
        <v>637.0</v>
      </c>
      <c r="J17" s="1">
        <v>0.0</v>
      </c>
      <c r="K17" s="1">
        <v>0.0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11" t="s">
        <v>646</v>
      </c>
      <c r="B18" s="132">
        <v>1399.0</v>
      </c>
      <c r="C18" s="107">
        <v>1075.0</v>
      </c>
      <c r="D18" s="132">
        <v>1286.0</v>
      </c>
      <c r="E18" s="111">
        <v>1006.0</v>
      </c>
      <c r="F18" s="99">
        <v>1259.0</v>
      </c>
      <c r="G18" s="99">
        <v>1308.0</v>
      </c>
      <c r="H18" s="99">
        <v>767.0</v>
      </c>
      <c r="I18" s="1">
        <v>345.0</v>
      </c>
      <c r="J18" s="1">
        <v>0.0</v>
      </c>
      <c r="K18" s="1">
        <v>0.0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11" t="s">
        <v>647</v>
      </c>
      <c r="B19" s="132">
        <v>1440.0</v>
      </c>
      <c r="C19" s="107">
        <v>1019.0</v>
      </c>
      <c r="D19" s="132">
        <v>1085.0</v>
      </c>
      <c r="E19" s="111">
        <v>762.0</v>
      </c>
      <c r="F19" s="99">
        <v>915.0</v>
      </c>
      <c r="G19" s="99">
        <v>475.0</v>
      </c>
      <c r="H19" s="99">
        <v>242.0</v>
      </c>
      <c r="I19" s="1">
        <v>0.0</v>
      </c>
      <c r="J19" s="1">
        <v>0.0</v>
      </c>
      <c r="K19" s="1">
        <v>0.0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11" t="s">
        <v>648</v>
      </c>
      <c r="B20" s="132">
        <v>1471.0</v>
      </c>
      <c r="C20" s="107">
        <v>1066.0</v>
      </c>
      <c r="D20" s="132">
        <v>1120.0</v>
      </c>
      <c r="E20" s="111">
        <v>386.0</v>
      </c>
      <c r="F20" s="99">
        <v>297.0</v>
      </c>
      <c r="G20" s="99">
        <v>151.0</v>
      </c>
      <c r="H20" s="1">
        <v>0.0</v>
      </c>
      <c r="I20" s="1">
        <v>0.0</v>
      </c>
      <c r="J20" s="1">
        <v>0.0</v>
      </c>
      <c r="K20" s="1">
        <v>0.0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11" t="s">
        <v>649</v>
      </c>
      <c r="B21" s="132">
        <v>1966.0</v>
      </c>
      <c r="C21" s="107">
        <v>1246.0</v>
      </c>
      <c r="D21" s="111">
        <v>808.0</v>
      </c>
      <c r="E21" s="111">
        <v>382.0</v>
      </c>
      <c r="F21" s="99">
        <v>98.0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11" t="s">
        <v>650</v>
      </c>
      <c r="B22" s="132">
        <v>1239.0</v>
      </c>
      <c r="C22" s="97">
        <v>588.0</v>
      </c>
      <c r="D22" s="111">
        <v>371.0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12" t="s">
        <v>651</v>
      </c>
      <c r="B23" s="111">
        <v>791.0</v>
      </c>
      <c r="C23" s="97">
        <v>207.0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33"/>
      <c r="B24" s="133"/>
    </row>
    <row r="25">
      <c r="A25" s="1" t="s">
        <v>652</v>
      </c>
      <c r="B25" s="17">
        <f t="shared" ref="B25:J25" si="1">SUM(B1:B23)</f>
        <v>15539</v>
      </c>
      <c r="C25" s="17">
        <f t="shared" si="1"/>
        <v>11777</v>
      </c>
      <c r="D25" s="17">
        <f t="shared" si="1"/>
        <v>13850</v>
      </c>
      <c r="E25" s="17">
        <f t="shared" si="1"/>
        <v>10589</v>
      </c>
      <c r="F25" s="17">
        <f t="shared" si="1"/>
        <v>13724</v>
      </c>
      <c r="G25" s="17">
        <f t="shared" si="1"/>
        <v>16008</v>
      </c>
      <c r="H25" s="17">
        <f t="shared" si="1"/>
        <v>17800</v>
      </c>
      <c r="I25" s="17">
        <f t="shared" si="1"/>
        <v>10343</v>
      </c>
      <c r="J25" s="17">
        <f t="shared" si="1"/>
        <v>15381</v>
      </c>
    </row>
    <row r="27">
      <c r="A27" s="1" t="s">
        <v>653</v>
      </c>
      <c r="B27" s="17">
        <f t="shared" ref="B27:J27" si="2">B1</f>
        <v>18</v>
      </c>
      <c r="C27" s="17">
        <f t="shared" si="2"/>
        <v>17</v>
      </c>
      <c r="D27" s="17">
        <f t="shared" si="2"/>
        <v>16</v>
      </c>
      <c r="E27" s="17">
        <f t="shared" si="2"/>
        <v>15</v>
      </c>
      <c r="F27" s="17">
        <f t="shared" si="2"/>
        <v>14</v>
      </c>
      <c r="G27" s="17">
        <f t="shared" si="2"/>
        <v>13</v>
      </c>
      <c r="H27" s="17">
        <f t="shared" si="2"/>
        <v>12</v>
      </c>
      <c r="I27" s="17">
        <f t="shared" si="2"/>
        <v>11</v>
      </c>
      <c r="J27" s="17">
        <f t="shared" si="2"/>
        <v>10</v>
      </c>
    </row>
    <row r="28">
      <c r="A28" s="111" t="s">
        <v>630</v>
      </c>
      <c r="B28" s="17">
        <f t="shared" ref="B28:J28" si="3">B2/B$25</f>
        <v>0.005212690649</v>
      </c>
      <c r="C28" s="17">
        <f t="shared" si="3"/>
        <v>0.005773966205</v>
      </c>
      <c r="D28" s="17">
        <f t="shared" si="3"/>
        <v>0.004548736462</v>
      </c>
      <c r="E28" s="17">
        <f t="shared" si="3"/>
        <v>0.005477382189</v>
      </c>
      <c r="F28" s="17">
        <f t="shared" si="3"/>
        <v>0.005319148936</v>
      </c>
      <c r="G28" s="17">
        <f t="shared" si="3"/>
        <v>0.006684157921</v>
      </c>
      <c r="H28" s="17">
        <f t="shared" si="3"/>
        <v>0.006685393258</v>
      </c>
      <c r="I28" s="17">
        <f t="shared" si="3"/>
        <v>0.004834187373</v>
      </c>
      <c r="J28" s="17">
        <f t="shared" si="3"/>
        <v>0.006566543138</v>
      </c>
    </row>
    <row r="29">
      <c r="A29" s="111" t="s">
        <v>631</v>
      </c>
      <c r="B29" s="17">
        <f t="shared" ref="B29:J29" si="4">B3/B$25</f>
        <v>0.01003925607</v>
      </c>
      <c r="C29" s="17">
        <f t="shared" si="4"/>
        <v>0.01010444086</v>
      </c>
      <c r="D29" s="17">
        <f t="shared" si="4"/>
        <v>0.009602888087</v>
      </c>
      <c r="E29" s="17">
        <f t="shared" si="4"/>
        <v>0.008310510908</v>
      </c>
      <c r="F29" s="17">
        <f t="shared" si="4"/>
        <v>0.01129408336</v>
      </c>
      <c r="G29" s="17">
        <f t="shared" si="4"/>
        <v>0.01111944028</v>
      </c>
      <c r="H29" s="17">
        <f t="shared" si="4"/>
        <v>0.01117977528</v>
      </c>
      <c r="I29" s="17">
        <f t="shared" si="4"/>
        <v>0.009184956009</v>
      </c>
      <c r="J29" s="17">
        <f t="shared" si="4"/>
        <v>0.005786359795</v>
      </c>
    </row>
    <row r="30">
      <c r="A30" s="111" t="s">
        <v>632</v>
      </c>
      <c r="B30" s="17">
        <f t="shared" ref="B30:J30" si="5">B4/B$25</f>
        <v>0.02657828689</v>
      </c>
      <c r="C30" s="17">
        <f t="shared" si="5"/>
        <v>0.0268319606</v>
      </c>
      <c r="D30" s="17">
        <f t="shared" si="5"/>
        <v>0.03342960289</v>
      </c>
      <c r="E30" s="17">
        <f t="shared" si="5"/>
        <v>0.03522523373</v>
      </c>
      <c r="F30" s="17">
        <f t="shared" si="5"/>
        <v>0.03563101137</v>
      </c>
      <c r="G30" s="17">
        <f t="shared" si="5"/>
        <v>0.04279110445</v>
      </c>
      <c r="H30" s="17">
        <f t="shared" si="5"/>
        <v>0.04095505618</v>
      </c>
      <c r="I30" s="17">
        <f t="shared" si="5"/>
        <v>0.04534467756</v>
      </c>
      <c r="J30" s="17">
        <f t="shared" si="5"/>
        <v>0.04043950328</v>
      </c>
    </row>
    <row r="31">
      <c r="A31" s="111" t="s">
        <v>633</v>
      </c>
      <c r="B31" s="17">
        <f t="shared" ref="B31:J31" si="6">B5/B$25</f>
        <v>0.0128064869</v>
      </c>
      <c r="C31" s="17">
        <f t="shared" si="6"/>
        <v>0.01825592256</v>
      </c>
      <c r="D31" s="17">
        <f t="shared" si="6"/>
        <v>0.01826714801</v>
      </c>
      <c r="E31" s="17">
        <f t="shared" si="6"/>
        <v>0.02672584758</v>
      </c>
      <c r="F31" s="17">
        <f t="shared" si="6"/>
        <v>0.02579422909</v>
      </c>
      <c r="G31" s="17">
        <f t="shared" si="6"/>
        <v>0.02929785107</v>
      </c>
      <c r="H31" s="17">
        <f t="shared" si="6"/>
        <v>0.03202247191</v>
      </c>
      <c r="I31" s="17">
        <f t="shared" si="6"/>
        <v>0.03499951658</v>
      </c>
      <c r="J31" s="17">
        <f t="shared" si="6"/>
        <v>0.03647357129</v>
      </c>
    </row>
    <row r="32">
      <c r="A32" s="111" t="s">
        <v>634</v>
      </c>
      <c r="B32" s="17">
        <f t="shared" ref="B32:J32" si="7">B6/B$25</f>
        <v>0.008945234571</v>
      </c>
      <c r="C32" s="17">
        <f t="shared" si="7"/>
        <v>0.0105289972</v>
      </c>
      <c r="D32" s="17">
        <f t="shared" si="7"/>
        <v>0.01436823105</v>
      </c>
      <c r="E32" s="17">
        <f t="shared" si="7"/>
        <v>0.02087071489</v>
      </c>
      <c r="F32" s="17">
        <f t="shared" si="7"/>
        <v>0.02127659574</v>
      </c>
      <c r="G32" s="17">
        <f t="shared" si="7"/>
        <v>0.02205147426</v>
      </c>
      <c r="H32" s="17">
        <f t="shared" si="7"/>
        <v>0.02449438202</v>
      </c>
      <c r="I32" s="17">
        <f t="shared" si="7"/>
        <v>0.02823165426</v>
      </c>
      <c r="J32" s="17">
        <f t="shared" si="7"/>
        <v>0.0321825629</v>
      </c>
    </row>
    <row r="33">
      <c r="A33" s="111" t="s">
        <v>635</v>
      </c>
      <c r="B33" s="17">
        <f t="shared" ref="B33:J33" si="8">B7/B$25</f>
        <v>0.006564128966</v>
      </c>
      <c r="C33" s="17">
        <f t="shared" si="8"/>
        <v>0.00747219156</v>
      </c>
      <c r="D33" s="17">
        <f t="shared" si="8"/>
        <v>0.01097472924</v>
      </c>
      <c r="E33" s="17">
        <f t="shared" si="8"/>
        <v>0.01322126735</v>
      </c>
      <c r="F33" s="17">
        <f t="shared" si="8"/>
        <v>0.01173127368</v>
      </c>
      <c r="G33" s="17">
        <f t="shared" si="8"/>
        <v>0.01468015992</v>
      </c>
      <c r="H33" s="17">
        <f t="shared" si="8"/>
        <v>0.01702247191</v>
      </c>
      <c r="I33" s="17">
        <f t="shared" si="8"/>
        <v>0.0207870057</v>
      </c>
      <c r="J33" s="17">
        <f t="shared" si="8"/>
        <v>0.02099993498</v>
      </c>
    </row>
    <row r="34">
      <c r="A34" s="111" t="s">
        <v>636</v>
      </c>
      <c r="B34" s="17">
        <f t="shared" ref="B34:J34" si="9">B8/B$25</f>
        <v>0.005019628033</v>
      </c>
      <c r="C34" s="17">
        <f t="shared" si="9"/>
        <v>0.007811836631</v>
      </c>
      <c r="D34" s="17">
        <f t="shared" si="9"/>
        <v>0.01068592058</v>
      </c>
      <c r="E34" s="17">
        <f t="shared" si="9"/>
        <v>0.01265464161</v>
      </c>
      <c r="F34" s="17">
        <f t="shared" si="9"/>
        <v>0.01267851938</v>
      </c>
      <c r="G34" s="17">
        <f t="shared" si="9"/>
        <v>0.01461769115</v>
      </c>
      <c r="H34" s="17">
        <f t="shared" si="9"/>
        <v>0.01651685393</v>
      </c>
      <c r="I34" s="17">
        <f t="shared" si="9"/>
        <v>0.0171130233</v>
      </c>
      <c r="J34" s="17">
        <f t="shared" si="9"/>
        <v>0.02054482803</v>
      </c>
    </row>
    <row r="35">
      <c r="A35" s="111" t="s">
        <v>637</v>
      </c>
      <c r="B35" s="17">
        <f t="shared" ref="B35:J35" si="10">B9/B$25</f>
        <v>0.007400733638</v>
      </c>
      <c r="C35" s="17">
        <f t="shared" si="10"/>
        <v>0.009934618324</v>
      </c>
      <c r="D35" s="17">
        <f t="shared" si="10"/>
        <v>0.01075812274</v>
      </c>
      <c r="E35" s="17">
        <f t="shared" si="10"/>
        <v>0.01595995845</v>
      </c>
      <c r="F35" s="17">
        <f t="shared" si="10"/>
        <v>0.01763334305</v>
      </c>
      <c r="G35" s="17">
        <f t="shared" si="10"/>
        <v>0.02042728636</v>
      </c>
      <c r="H35" s="17">
        <f t="shared" si="10"/>
        <v>0.02056179775</v>
      </c>
      <c r="I35" s="17">
        <f t="shared" si="10"/>
        <v>0.02417093687</v>
      </c>
      <c r="J35" s="17">
        <f t="shared" si="10"/>
        <v>0.02230024056</v>
      </c>
    </row>
    <row r="36">
      <c r="A36" s="111" t="s">
        <v>638</v>
      </c>
      <c r="B36" s="17">
        <f t="shared" ref="B36:J36" si="11">B10/B$25</f>
        <v>0.02612780745</v>
      </c>
      <c r="C36" s="17">
        <f t="shared" si="11"/>
        <v>0.03421924089</v>
      </c>
      <c r="D36" s="17">
        <f t="shared" si="11"/>
        <v>0.03935018051</v>
      </c>
      <c r="E36" s="17">
        <f t="shared" si="11"/>
        <v>0.05307394466</v>
      </c>
      <c r="F36" s="17">
        <f t="shared" si="11"/>
        <v>0.05807344797</v>
      </c>
      <c r="G36" s="17">
        <f t="shared" si="11"/>
        <v>0.06365567216</v>
      </c>
      <c r="H36" s="17">
        <f t="shared" si="11"/>
        <v>0.06842696629</v>
      </c>
      <c r="I36" s="17">
        <f t="shared" si="11"/>
        <v>0.08798221019</v>
      </c>
      <c r="J36" s="17">
        <f t="shared" si="11"/>
        <v>0.07437747871</v>
      </c>
    </row>
    <row r="37">
      <c r="A37" s="111" t="s">
        <v>639</v>
      </c>
      <c r="B37" s="17">
        <f t="shared" ref="B37:J37" si="12">B11/B$25</f>
        <v>0.05322092799</v>
      </c>
      <c r="C37" s="17">
        <f t="shared" si="12"/>
        <v>0.06741954657</v>
      </c>
      <c r="D37" s="17">
        <f t="shared" si="12"/>
        <v>0.08642599278</v>
      </c>
      <c r="E37" s="17">
        <f t="shared" si="12"/>
        <v>0.1067145151</v>
      </c>
      <c r="F37" s="17">
        <f t="shared" si="12"/>
        <v>0.1165840863</v>
      </c>
      <c r="G37" s="17">
        <f t="shared" si="12"/>
        <v>0.1290604698</v>
      </c>
      <c r="H37" s="17">
        <f t="shared" si="12"/>
        <v>0.1341011236</v>
      </c>
      <c r="I37" s="17">
        <f t="shared" si="12"/>
        <v>0.1518901673</v>
      </c>
      <c r="J37" s="17">
        <f t="shared" si="12"/>
        <v>0.1735907938</v>
      </c>
    </row>
    <row r="38">
      <c r="A38" s="111" t="s">
        <v>640</v>
      </c>
      <c r="B38" s="17">
        <f t="shared" ref="B38:J38" si="13">B12/B$25</f>
        <v>0.04247377566</v>
      </c>
      <c r="C38" s="17">
        <f t="shared" si="13"/>
        <v>0.05493759022</v>
      </c>
      <c r="D38" s="17">
        <f t="shared" si="13"/>
        <v>0.06989169675</v>
      </c>
      <c r="E38" s="17">
        <f t="shared" si="13"/>
        <v>0.08367173482</v>
      </c>
      <c r="F38" s="17">
        <f t="shared" si="13"/>
        <v>0.08299329642</v>
      </c>
      <c r="G38" s="17">
        <f t="shared" si="13"/>
        <v>0.09057971014</v>
      </c>
      <c r="H38" s="17">
        <f t="shared" si="13"/>
        <v>0.09994382022</v>
      </c>
      <c r="I38" s="17">
        <f t="shared" si="13"/>
        <v>0.1142801895</v>
      </c>
      <c r="J38" s="17">
        <f t="shared" si="13"/>
        <v>0.1305506794</v>
      </c>
    </row>
    <row r="39">
      <c r="A39" s="111" t="s">
        <v>641</v>
      </c>
      <c r="B39" s="17">
        <f t="shared" ref="B39:J39" si="14">B13/B$25</f>
        <v>0.03932041959</v>
      </c>
      <c r="C39" s="17">
        <f t="shared" si="14"/>
        <v>0.04984291415</v>
      </c>
      <c r="D39" s="17">
        <f t="shared" si="14"/>
        <v>0.05523465704</v>
      </c>
      <c r="E39" s="17">
        <f t="shared" si="14"/>
        <v>0.06185664369</v>
      </c>
      <c r="F39" s="17">
        <f t="shared" si="14"/>
        <v>0.07206353833</v>
      </c>
      <c r="G39" s="17">
        <f t="shared" si="14"/>
        <v>0.07258870565</v>
      </c>
      <c r="H39" s="17">
        <f t="shared" si="14"/>
        <v>0.08331460674</v>
      </c>
      <c r="I39" s="17">
        <f t="shared" si="14"/>
        <v>0.08633858648</v>
      </c>
      <c r="J39" s="17">
        <f t="shared" si="14"/>
        <v>0.1101358819</v>
      </c>
    </row>
    <row r="40">
      <c r="A40" s="111" t="s">
        <v>642</v>
      </c>
      <c r="B40" s="17">
        <f t="shared" ref="B40:J40" si="15">B14/B$25</f>
        <v>0.04195894202</v>
      </c>
      <c r="C40" s="17">
        <f t="shared" si="15"/>
        <v>0.04941835782</v>
      </c>
      <c r="D40" s="17">
        <f t="shared" si="15"/>
        <v>0.05220216606</v>
      </c>
      <c r="E40" s="17">
        <f t="shared" si="15"/>
        <v>0.06006232883</v>
      </c>
      <c r="F40" s="17">
        <f t="shared" si="15"/>
        <v>0.06630719907</v>
      </c>
      <c r="G40" s="17">
        <f t="shared" si="15"/>
        <v>0.07015242379</v>
      </c>
      <c r="H40" s="17">
        <f t="shared" si="15"/>
        <v>0.07769662921</v>
      </c>
      <c r="I40" s="17">
        <f t="shared" si="15"/>
        <v>0.0820845016</v>
      </c>
      <c r="J40" s="17">
        <f t="shared" si="15"/>
        <v>0.1104609583</v>
      </c>
    </row>
    <row r="41">
      <c r="A41" s="111" t="s">
        <v>643</v>
      </c>
      <c r="B41" s="17">
        <f t="shared" ref="B41:J41" si="16">B15/B$25</f>
        <v>0.05386447004</v>
      </c>
      <c r="C41" s="17">
        <f t="shared" si="16"/>
        <v>0.05782457332</v>
      </c>
      <c r="D41" s="17">
        <f t="shared" si="16"/>
        <v>0.07292418773</v>
      </c>
      <c r="E41" s="17">
        <f t="shared" si="16"/>
        <v>0.07724997639</v>
      </c>
      <c r="F41" s="17">
        <f t="shared" si="16"/>
        <v>0.08772952492</v>
      </c>
      <c r="G41" s="17">
        <f t="shared" si="16"/>
        <v>0.09114192904</v>
      </c>
      <c r="H41" s="17">
        <f t="shared" si="16"/>
        <v>0.1015168539</v>
      </c>
      <c r="I41" s="17">
        <f t="shared" si="16"/>
        <v>0.09881078991</v>
      </c>
      <c r="J41" s="17">
        <f t="shared" si="16"/>
        <v>0.1817827189</v>
      </c>
    </row>
    <row r="42">
      <c r="A42" s="111" t="s">
        <v>644</v>
      </c>
      <c r="B42" s="17">
        <f t="shared" ref="B42:J42" si="17">B16/B$25</f>
        <v>0.05515155415</v>
      </c>
      <c r="C42" s="17">
        <f t="shared" si="17"/>
        <v>0.06555149868</v>
      </c>
      <c r="D42" s="17">
        <f t="shared" si="17"/>
        <v>0.079566787</v>
      </c>
      <c r="E42" s="17">
        <f t="shared" si="17"/>
        <v>0.08414392294</v>
      </c>
      <c r="F42" s="17">
        <f t="shared" si="17"/>
        <v>0.08481492276</v>
      </c>
      <c r="G42" s="17">
        <f t="shared" si="17"/>
        <v>0.09563968016</v>
      </c>
      <c r="H42" s="17">
        <f t="shared" si="17"/>
        <v>0.1082022472</v>
      </c>
      <c r="I42" s="17">
        <f t="shared" si="17"/>
        <v>0.09794063618</v>
      </c>
      <c r="J42" s="17">
        <f t="shared" si="17"/>
        <v>0.03315779208</v>
      </c>
    </row>
    <row r="43">
      <c r="A43" s="111" t="s">
        <v>645</v>
      </c>
      <c r="B43" s="17">
        <f t="shared" ref="B43:J43" si="18">B17/B$25</f>
        <v>0.0696312504</v>
      </c>
      <c r="C43" s="17">
        <f t="shared" si="18"/>
        <v>0.08100534941</v>
      </c>
      <c r="D43" s="17">
        <f t="shared" si="18"/>
        <v>0.09342960289</v>
      </c>
      <c r="E43" s="17">
        <f t="shared" si="18"/>
        <v>0.09387099821</v>
      </c>
      <c r="F43" s="17">
        <f t="shared" si="18"/>
        <v>0.1018653454</v>
      </c>
      <c r="G43" s="17">
        <f t="shared" si="18"/>
        <v>0.1038855572</v>
      </c>
      <c r="H43" s="17">
        <f t="shared" si="18"/>
        <v>0.1</v>
      </c>
      <c r="I43" s="17">
        <f t="shared" si="18"/>
        <v>0.06158754713</v>
      </c>
      <c r="J43" s="17">
        <f t="shared" si="18"/>
        <v>0</v>
      </c>
    </row>
    <row r="44">
      <c r="A44" s="111" t="s">
        <v>646</v>
      </c>
      <c r="B44" s="17">
        <f t="shared" ref="B44:J44" si="19">B18/B$25</f>
        <v>0.09003153356</v>
      </c>
      <c r="C44" s="17">
        <f t="shared" si="19"/>
        <v>0.0912796128</v>
      </c>
      <c r="D44" s="17">
        <f t="shared" si="19"/>
        <v>0.09285198556</v>
      </c>
      <c r="E44" s="17">
        <f t="shared" si="19"/>
        <v>0.09500424969</v>
      </c>
      <c r="F44" s="17">
        <f t="shared" si="19"/>
        <v>0.09173710289</v>
      </c>
      <c r="G44" s="17">
        <f t="shared" si="19"/>
        <v>0.08170914543</v>
      </c>
      <c r="H44" s="17">
        <f t="shared" si="19"/>
        <v>0.04308988764</v>
      </c>
      <c r="I44" s="17">
        <f t="shared" si="19"/>
        <v>0.03335589287</v>
      </c>
      <c r="J44" s="17">
        <f t="shared" si="19"/>
        <v>0</v>
      </c>
    </row>
    <row r="45">
      <c r="A45" s="111" t="s">
        <v>647</v>
      </c>
      <c r="B45" s="17">
        <f t="shared" ref="B45:J45" si="20">B19/B$25</f>
        <v>0.09267005599</v>
      </c>
      <c r="C45" s="17">
        <f t="shared" si="20"/>
        <v>0.08652458181</v>
      </c>
      <c r="D45" s="17">
        <f t="shared" si="20"/>
        <v>0.07833935018</v>
      </c>
      <c r="E45" s="17">
        <f t="shared" si="20"/>
        <v>0.07196146945</v>
      </c>
      <c r="F45" s="17">
        <f t="shared" si="20"/>
        <v>0.06667152434</v>
      </c>
      <c r="G45" s="17">
        <f t="shared" si="20"/>
        <v>0.02967266367</v>
      </c>
      <c r="H45" s="17">
        <f t="shared" si="20"/>
        <v>0.01359550562</v>
      </c>
      <c r="I45" s="17">
        <f t="shared" si="20"/>
        <v>0</v>
      </c>
      <c r="J45" s="17">
        <f t="shared" si="20"/>
        <v>0</v>
      </c>
    </row>
    <row r="46">
      <c r="A46" s="111" t="s">
        <v>648</v>
      </c>
      <c r="B46" s="17">
        <f t="shared" ref="B46:J46" si="21">B20/B$25</f>
        <v>0.09466503636</v>
      </c>
      <c r="C46" s="17">
        <f t="shared" si="21"/>
        <v>0.0905154114</v>
      </c>
      <c r="D46" s="17">
        <f t="shared" si="21"/>
        <v>0.08086642599</v>
      </c>
      <c r="E46" s="17">
        <f t="shared" si="21"/>
        <v>0.03645292284</v>
      </c>
      <c r="F46" s="17">
        <f t="shared" si="21"/>
        <v>0.02164092101</v>
      </c>
      <c r="G46" s="17">
        <f t="shared" si="21"/>
        <v>0.009432783608</v>
      </c>
      <c r="H46" s="17">
        <f t="shared" si="21"/>
        <v>0</v>
      </c>
      <c r="I46" s="17">
        <f t="shared" si="21"/>
        <v>0</v>
      </c>
      <c r="J46" s="17">
        <f t="shared" si="21"/>
        <v>0</v>
      </c>
    </row>
    <row r="47">
      <c r="A47" s="111" t="s">
        <v>649</v>
      </c>
      <c r="B47" s="17">
        <f t="shared" ref="B47:J47" si="22">B21/B$25</f>
        <v>0.1265203681</v>
      </c>
      <c r="C47" s="17">
        <f t="shared" si="22"/>
        <v>0.1057994396</v>
      </c>
      <c r="D47" s="17">
        <f t="shared" si="22"/>
        <v>0.05833935018</v>
      </c>
      <c r="E47" s="17">
        <f t="shared" si="22"/>
        <v>0.03607517235</v>
      </c>
      <c r="F47" s="17">
        <f t="shared" si="22"/>
        <v>0.007140775284</v>
      </c>
      <c r="G47" s="17">
        <f t="shared" si="22"/>
        <v>0</v>
      </c>
      <c r="H47" s="17">
        <f t="shared" si="22"/>
        <v>0</v>
      </c>
      <c r="I47" s="17">
        <f t="shared" si="22"/>
        <v>0</v>
      </c>
      <c r="J47" s="17">
        <f t="shared" si="22"/>
        <v>0</v>
      </c>
    </row>
    <row r="48">
      <c r="A48" s="111" t="s">
        <v>650</v>
      </c>
      <c r="B48" s="17">
        <f t="shared" ref="B48:J48" si="23">B22/B$25</f>
        <v>0.07973486067</v>
      </c>
      <c r="C48" s="17">
        <f t="shared" si="23"/>
        <v>0.04992782542</v>
      </c>
      <c r="D48" s="17">
        <f t="shared" si="23"/>
        <v>0.02678700361</v>
      </c>
      <c r="E48" s="17">
        <f t="shared" si="23"/>
        <v>0</v>
      </c>
      <c r="F48" s="17">
        <f t="shared" si="23"/>
        <v>0</v>
      </c>
      <c r="G48" s="17">
        <f t="shared" si="23"/>
        <v>0</v>
      </c>
      <c r="H48" s="17">
        <f t="shared" si="23"/>
        <v>0</v>
      </c>
      <c r="I48" s="17">
        <f t="shared" si="23"/>
        <v>0</v>
      </c>
      <c r="J48" s="17">
        <f t="shared" si="23"/>
        <v>0</v>
      </c>
    </row>
    <row r="49">
      <c r="A49" s="112" t="s">
        <v>651</v>
      </c>
      <c r="B49" s="17">
        <f t="shared" ref="B49:J49" si="24">B23/B$25</f>
        <v>0.05090417659</v>
      </c>
      <c r="C49" s="17">
        <f t="shared" si="24"/>
        <v>0.01757663242</v>
      </c>
      <c r="D49" s="17">
        <f t="shared" si="24"/>
        <v>0</v>
      </c>
      <c r="E49" s="17">
        <f t="shared" si="24"/>
        <v>0</v>
      </c>
      <c r="F49" s="17">
        <f t="shared" si="24"/>
        <v>0</v>
      </c>
      <c r="G49" s="17">
        <f t="shared" si="24"/>
        <v>0</v>
      </c>
      <c r="H49" s="17">
        <f t="shared" si="24"/>
        <v>0</v>
      </c>
      <c r="I49" s="17">
        <f t="shared" si="24"/>
        <v>0</v>
      </c>
      <c r="J49" s="17">
        <f t="shared" si="24"/>
        <v>0</v>
      </c>
    </row>
    <row r="82">
      <c r="A82" s="1" t="s">
        <v>629</v>
      </c>
      <c r="B82" s="111" t="s">
        <v>630</v>
      </c>
      <c r="C82" s="111" t="s">
        <v>631</v>
      </c>
      <c r="D82" s="111" t="s">
        <v>632</v>
      </c>
      <c r="E82" s="111" t="s">
        <v>633</v>
      </c>
      <c r="F82" s="111" t="s">
        <v>634</v>
      </c>
      <c r="G82" s="111" t="s">
        <v>635</v>
      </c>
      <c r="H82" s="111" t="s">
        <v>636</v>
      </c>
      <c r="I82" s="111" t="s">
        <v>637</v>
      </c>
      <c r="J82" s="111" t="s">
        <v>638</v>
      </c>
      <c r="K82" s="111" t="s">
        <v>639</v>
      </c>
      <c r="L82" s="111" t="s">
        <v>640</v>
      </c>
      <c r="M82" s="111" t="s">
        <v>641</v>
      </c>
      <c r="N82" s="111" t="s">
        <v>642</v>
      </c>
      <c r="O82" s="111" t="s">
        <v>643</v>
      </c>
      <c r="P82" s="111" t="s">
        <v>644</v>
      </c>
      <c r="Q82" s="111" t="s">
        <v>645</v>
      </c>
      <c r="R82" s="111" t="s">
        <v>646</v>
      </c>
      <c r="S82" s="111" t="s">
        <v>647</v>
      </c>
      <c r="T82" s="111" t="s">
        <v>648</v>
      </c>
      <c r="U82" s="111" t="s">
        <v>649</v>
      </c>
      <c r="V82" s="111" t="s">
        <v>650</v>
      </c>
      <c r="W82" s="112" t="s">
        <v>651</v>
      </c>
    </row>
    <row r="83">
      <c r="A83" s="1">
        <v>18.0</v>
      </c>
      <c r="B83" s="111">
        <v>81.0</v>
      </c>
      <c r="C83" s="111">
        <v>156.0</v>
      </c>
      <c r="D83" s="111">
        <v>413.0</v>
      </c>
      <c r="E83" s="111">
        <v>199.0</v>
      </c>
      <c r="F83" s="111">
        <v>139.0</v>
      </c>
      <c r="G83" s="111">
        <v>102.0</v>
      </c>
      <c r="H83" s="111">
        <v>78.0</v>
      </c>
      <c r="I83" s="111">
        <v>115.0</v>
      </c>
      <c r="J83" s="111">
        <v>406.0</v>
      </c>
      <c r="K83" s="111">
        <v>827.0</v>
      </c>
      <c r="L83" s="111">
        <v>660.0</v>
      </c>
      <c r="M83" s="111">
        <v>611.0</v>
      </c>
      <c r="N83" s="111">
        <v>652.0</v>
      </c>
      <c r="O83" s="111">
        <v>837.0</v>
      </c>
      <c r="P83" s="111">
        <v>857.0</v>
      </c>
      <c r="Q83" s="132">
        <v>1082.0</v>
      </c>
      <c r="R83" s="132">
        <v>1399.0</v>
      </c>
      <c r="S83" s="132">
        <v>1440.0</v>
      </c>
      <c r="T83" s="132">
        <v>1471.0</v>
      </c>
      <c r="U83" s="132">
        <v>1966.0</v>
      </c>
      <c r="V83" s="132">
        <v>1239.0</v>
      </c>
      <c r="W83" s="111">
        <v>791.0</v>
      </c>
    </row>
    <row r="84">
      <c r="A84" s="1">
        <v>17.0</v>
      </c>
      <c r="B84" s="97">
        <v>68.0</v>
      </c>
      <c r="C84" s="97">
        <v>119.0</v>
      </c>
      <c r="D84" s="97">
        <v>316.0</v>
      </c>
      <c r="E84" s="97">
        <v>215.0</v>
      </c>
      <c r="F84" s="97">
        <v>124.0</v>
      </c>
      <c r="G84" s="97">
        <v>88.0</v>
      </c>
      <c r="H84" s="97">
        <v>92.0</v>
      </c>
      <c r="I84" s="97">
        <v>117.0</v>
      </c>
      <c r="J84" s="97">
        <v>403.0</v>
      </c>
      <c r="K84" s="97">
        <v>794.0</v>
      </c>
      <c r="L84" s="97">
        <v>647.0</v>
      </c>
      <c r="M84" s="97">
        <v>587.0</v>
      </c>
      <c r="N84" s="97">
        <v>582.0</v>
      </c>
      <c r="O84" s="97">
        <v>681.0</v>
      </c>
      <c r="P84" s="97">
        <v>772.0</v>
      </c>
      <c r="Q84" s="97">
        <v>954.0</v>
      </c>
      <c r="R84" s="107">
        <v>1075.0</v>
      </c>
      <c r="S84" s="107">
        <v>1019.0</v>
      </c>
      <c r="T84" s="107">
        <v>1066.0</v>
      </c>
      <c r="U84" s="107">
        <v>1246.0</v>
      </c>
      <c r="V84" s="97">
        <v>588.0</v>
      </c>
      <c r="W84" s="97">
        <v>207.0</v>
      </c>
    </row>
    <row r="85">
      <c r="A85" s="1">
        <v>16.0</v>
      </c>
      <c r="B85" s="111">
        <v>63.0</v>
      </c>
      <c r="C85" s="111">
        <v>133.0</v>
      </c>
      <c r="D85" s="111">
        <v>463.0</v>
      </c>
      <c r="E85" s="111">
        <v>253.0</v>
      </c>
      <c r="F85" s="111">
        <v>199.0</v>
      </c>
      <c r="G85" s="111">
        <v>152.0</v>
      </c>
      <c r="H85" s="111">
        <v>148.0</v>
      </c>
      <c r="I85" s="111">
        <v>149.0</v>
      </c>
      <c r="J85" s="111">
        <v>545.0</v>
      </c>
      <c r="K85" s="132">
        <v>1197.0</v>
      </c>
      <c r="L85" s="111">
        <v>968.0</v>
      </c>
      <c r="M85" s="111">
        <v>765.0</v>
      </c>
      <c r="N85" s="111">
        <v>723.0</v>
      </c>
      <c r="O85" s="132">
        <v>1010.0</v>
      </c>
      <c r="P85" s="132">
        <v>1102.0</v>
      </c>
      <c r="Q85" s="132">
        <v>1294.0</v>
      </c>
      <c r="R85" s="132">
        <v>1286.0</v>
      </c>
      <c r="S85" s="132">
        <v>1085.0</v>
      </c>
      <c r="T85" s="132">
        <v>1120.0</v>
      </c>
      <c r="U85" s="111">
        <v>808.0</v>
      </c>
      <c r="V85" s="111">
        <v>371.0</v>
      </c>
      <c r="W85" s="1">
        <v>0.0</v>
      </c>
    </row>
    <row r="86">
      <c r="A86" s="1">
        <v>15.0</v>
      </c>
      <c r="B86" s="111">
        <v>58.0</v>
      </c>
      <c r="C86" s="111">
        <v>88.0</v>
      </c>
      <c r="D86" s="111">
        <v>373.0</v>
      </c>
      <c r="E86" s="111">
        <v>283.0</v>
      </c>
      <c r="F86" s="111">
        <v>221.0</v>
      </c>
      <c r="G86" s="111">
        <v>140.0</v>
      </c>
      <c r="H86" s="111">
        <v>134.0</v>
      </c>
      <c r="I86" s="111">
        <v>169.0</v>
      </c>
      <c r="J86" s="111">
        <v>562.0</v>
      </c>
      <c r="K86" s="111">
        <v>1130.0</v>
      </c>
      <c r="L86" s="111">
        <v>886.0</v>
      </c>
      <c r="M86" s="111">
        <v>655.0</v>
      </c>
      <c r="N86" s="111">
        <v>636.0</v>
      </c>
      <c r="O86" s="111">
        <v>818.0</v>
      </c>
      <c r="P86" s="111">
        <v>891.0</v>
      </c>
      <c r="Q86" s="111">
        <v>994.0</v>
      </c>
      <c r="R86" s="111">
        <v>1006.0</v>
      </c>
      <c r="S86" s="111">
        <v>762.0</v>
      </c>
      <c r="T86" s="111">
        <v>386.0</v>
      </c>
      <c r="U86" s="111">
        <v>382.0</v>
      </c>
      <c r="V86" s="1">
        <v>0.0</v>
      </c>
      <c r="W86" s="1">
        <v>0.0</v>
      </c>
    </row>
    <row r="87">
      <c r="A87" s="1">
        <v>14.0</v>
      </c>
      <c r="B87" s="99">
        <v>73.0</v>
      </c>
      <c r="C87" s="99">
        <v>155.0</v>
      </c>
      <c r="D87" s="99">
        <v>489.0</v>
      </c>
      <c r="E87" s="99">
        <v>354.0</v>
      </c>
      <c r="F87" s="99">
        <v>292.0</v>
      </c>
      <c r="G87" s="99">
        <v>161.0</v>
      </c>
      <c r="H87" s="99">
        <v>174.0</v>
      </c>
      <c r="I87" s="99">
        <v>242.0</v>
      </c>
      <c r="J87" s="99">
        <v>797.0</v>
      </c>
      <c r="K87" s="99">
        <v>1600.0</v>
      </c>
      <c r="L87" s="99">
        <v>1139.0</v>
      </c>
      <c r="M87" s="99">
        <v>989.0</v>
      </c>
      <c r="N87" s="99">
        <v>910.0</v>
      </c>
      <c r="O87" s="99">
        <v>1204.0</v>
      </c>
      <c r="P87" s="99">
        <v>1164.0</v>
      </c>
      <c r="Q87" s="99">
        <v>1398.0</v>
      </c>
      <c r="R87" s="99">
        <v>1259.0</v>
      </c>
      <c r="S87" s="99">
        <v>915.0</v>
      </c>
      <c r="T87" s="99">
        <v>297.0</v>
      </c>
      <c r="U87" s="99">
        <v>98.0</v>
      </c>
      <c r="V87" s="1">
        <v>0.0</v>
      </c>
      <c r="W87" s="1">
        <v>0.0</v>
      </c>
    </row>
    <row r="88">
      <c r="A88" s="1">
        <v>13.0</v>
      </c>
      <c r="B88" s="99">
        <v>107.0</v>
      </c>
      <c r="C88" s="99">
        <v>178.0</v>
      </c>
      <c r="D88" s="99">
        <v>685.0</v>
      </c>
      <c r="E88" s="99">
        <v>469.0</v>
      </c>
      <c r="F88" s="99">
        <v>353.0</v>
      </c>
      <c r="G88" s="99">
        <v>235.0</v>
      </c>
      <c r="H88" s="99">
        <v>234.0</v>
      </c>
      <c r="I88" s="99">
        <v>327.0</v>
      </c>
      <c r="J88" s="99">
        <v>1019.0</v>
      </c>
      <c r="K88" s="99">
        <v>2066.0</v>
      </c>
      <c r="L88" s="99">
        <v>1450.0</v>
      </c>
      <c r="M88" s="99">
        <v>1162.0</v>
      </c>
      <c r="N88" s="99">
        <v>1123.0</v>
      </c>
      <c r="O88" s="99">
        <v>1459.0</v>
      </c>
      <c r="P88" s="99">
        <v>1531.0</v>
      </c>
      <c r="Q88" s="99">
        <v>1663.0</v>
      </c>
      <c r="R88" s="99">
        <v>1308.0</v>
      </c>
      <c r="S88" s="99">
        <v>475.0</v>
      </c>
      <c r="T88" s="99">
        <v>151.0</v>
      </c>
      <c r="U88" s="1">
        <v>0.0</v>
      </c>
      <c r="V88" s="1">
        <v>0.0</v>
      </c>
      <c r="W88" s="1">
        <v>0.0</v>
      </c>
    </row>
    <row r="89">
      <c r="A89" s="1">
        <v>12.0</v>
      </c>
      <c r="B89" s="99">
        <v>119.0</v>
      </c>
      <c r="C89" s="99">
        <v>199.0</v>
      </c>
      <c r="D89" s="99">
        <v>729.0</v>
      </c>
      <c r="E89" s="99">
        <v>570.0</v>
      </c>
      <c r="F89" s="99">
        <v>436.0</v>
      </c>
      <c r="G89" s="99">
        <v>303.0</v>
      </c>
      <c r="H89" s="99">
        <v>294.0</v>
      </c>
      <c r="I89" s="99">
        <v>366.0</v>
      </c>
      <c r="J89" s="99">
        <v>1218.0</v>
      </c>
      <c r="K89" s="99">
        <v>2387.0</v>
      </c>
      <c r="L89" s="99">
        <v>1779.0</v>
      </c>
      <c r="M89" s="99">
        <v>1483.0</v>
      </c>
      <c r="N89" s="99">
        <v>1383.0</v>
      </c>
      <c r="O89" s="99">
        <v>1807.0</v>
      </c>
      <c r="P89" s="99">
        <v>1926.0</v>
      </c>
      <c r="Q89" s="99">
        <v>1780.0</v>
      </c>
      <c r="R89" s="99">
        <v>767.0</v>
      </c>
      <c r="S89" s="99">
        <v>242.0</v>
      </c>
      <c r="T89" s="1">
        <v>0.0</v>
      </c>
      <c r="U89" s="1">
        <v>0.0</v>
      </c>
      <c r="V89" s="1">
        <v>0.0</v>
      </c>
      <c r="W89" s="1">
        <v>0.0</v>
      </c>
    </row>
    <row r="90">
      <c r="A90" s="1">
        <v>11.0</v>
      </c>
      <c r="B90" s="1">
        <v>50.0</v>
      </c>
      <c r="C90" s="1">
        <v>95.0</v>
      </c>
      <c r="D90" s="1">
        <v>469.0</v>
      </c>
      <c r="E90" s="1">
        <v>362.0</v>
      </c>
      <c r="F90" s="1">
        <v>292.0</v>
      </c>
      <c r="G90" s="1">
        <v>215.0</v>
      </c>
      <c r="H90" s="1">
        <v>177.0</v>
      </c>
      <c r="I90" s="1">
        <v>250.0</v>
      </c>
      <c r="J90" s="1">
        <v>910.0</v>
      </c>
      <c r="K90" s="1">
        <v>1571.0</v>
      </c>
      <c r="L90" s="1">
        <v>1182.0</v>
      </c>
      <c r="M90" s="1">
        <v>893.0</v>
      </c>
      <c r="N90" s="1">
        <v>849.0</v>
      </c>
      <c r="O90" s="1">
        <v>1022.0</v>
      </c>
      <c r="P90" s="1">
        <v>1013.0</v>
      </c>
      <c r="Q90" s="1">
        <v>637.0</v>
      </c>
      <c r="R90" s="1">
        <v>345.0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</row>
    <row r="91">
      <c r="A91" s="1">
        <v>10.0</v>
      </c>
      <c r="B91" s="128">
        <v>101.0</v>
      </c>
      <c r="C91" s="131">
        <v>89.0</v>
      </c>
      <c r="D91" s="131">
        <v>622.0</v>
      </c>
      <c r="E91" s="131">
        <v>561.0</v>
      </c>
      <c r="F91" s="131">
        <v>495.0</v>
      </c>
      <c r="G91" s="131">
        <v>323.0</v>
      </c>
      <c r="H91" s="131">
        <v>316.0</v>
      </c>
      <c r="I91" s="131">
        <v>343.0</v>
      </c>
      <c r="J91" s="131">
        <v>1144.0</v>
      </c>
      <c r="K91" s="131">
        <v>2670.0</v>
      </c>
      <c r="L91" s="131">
        <v>2008.0</v>
      </c>
      <c r="M91" s="131">
        <v>1694.0</v>
      </c>
      <c r="N91" s="131">
        <v>1699.0</v>
      </c>
      <c r="O91" s="131">
        <v>2796.0</v>
      </c>
      <c r="P91" s="131">
        <v>510.0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</row>
  </sheetData>
  <drawing r:id="rId1"/>
</worksheet>
</file>